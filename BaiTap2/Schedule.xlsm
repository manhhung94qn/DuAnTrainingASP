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B\Desktop\DuAnTrainingASP\BaiTap2\"/>
    </mc:Choice>
  </mc:AlternateContent>
  <bookViews>
    <workbookView xWindow="-120" yWindow="-120" windowWidth="29040" windowHeight="15840"/>
  </bookViews>
  <sheets>
    <sheet name="Schedule" sheetId="3" r:id="rId1"/>
    <sheet name="Config" sheetId="2" r:id="rId2"/>
  </sheets>
  <functionGroups builtInGroupCount="18"/>
  <definedNames>
    <definedName name="_xlnm._FilterDatabase" localSheetId="0" hidden="1">Schedule!$A$9:$M$10</definedName>
    <definedName name="_xlnm.Print_Area" localSheetId="0">Schedule!$A$1:$AP$27</definedName>
    <definedName name="作業期間開始" localSheetId="0">Schedule!$F$4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0" i="3" l="1"/>
  <c r="I29" i="3"/>
  <c r="I28" i="3"/>
  <c r="I23" i="3"/>
  <c r="I22" i="3"/>
  <c r="I21" i="3"/>
  <c r="I16" i="3"/>
  <c r="I15" i="3"/>
  <c r="I14" i="3"/>
  <c r="I18" i="3" l="1"/>
  <c r="I12" i="3"/>
  <c r="I19" i="3"/>
  <c r="I20" i="3"/>
  <c r="A26" i="3"/>
  <c r="I25" i="3"/>
  <c r="I26" i="3"/>
  <c r="I27" i="3"/>
  <c r="A27" i="3" l="1"/>
  <c r="A28" i="3" s="1"/>
  <c r="A29" i="3" l="1"/>
  <c r="A30" i="3" s="1"/>
  <c r="I13" i="3"/>
  <c r="A11" i="3" l="1"/>
  <c r="I11" i="3"/>
  <c r="A12" i="3" l="1"/>
  <c r="M7" i="3"/>
  <c r="R7" i="3" s="1"/>
  <c r="A13" i="3" l="1"/>
  <c r="M8" i="3"/>
  <c r="AA8" i="3" l="1"/>
  <c r="AA9" i="3" s="1"/>
  <c r="W8" i="3"/>
  <c r="W9" i="3" s="1"/>
  <c r="S8" i="3"/>
  <c r="S9" i="3" s="1"/>
  <c r="P8" i="3"/>
  <c r="P9" i="3" s="1"/>
  <c r="AC8" i="3"/>
  <c r="AC9" i="3" s="1"/>
  <c r="Y8" i="3"/>
  <c r="Y9" i="3" s="1"/>
  <c r="U8" i="3"/>
  <c r="U9" i="3" s="1"/>
  <c r="Z8" i="3"/>
  <c r="Z9" i="3" s="1"/>
  <c r="V8" i="3"/>
  <c r="V9" i="3" s="1"/>
  <c r="R8" i="3"/>
  <c r="R9" i="3" s="1"/>
  <c r="O8" i="3"/>
  <c r="O9" i="3" s="1"/>
  <c r="N8" i="3"/>
  <c r="N9" i="3" s="1"/>
  <c r="AB8" i="3"/>
  <c r="AB9" i="3" s="1"/>
  <c r="X8" i="3"/>
  <c r="X9" i="3" s="1"/>
  <c r="T8" i="3"/>
  <c r="T9" i="3" s="1"/>
  <c r="Q8" i="3"/>
  <c r="Q9" i="3" s="1"/>
  <c r="A14" i="3"/>
  <c r="M9" i="3"/>
  <c r="A15" i="3" l="1"/>
  <c r="A16" i="3" s="1"/>
</calcChain>
</file>

<file path=xl/sharedStrings.xml><?xml version="1.0" encoding="utf-8"?>
<sst xmlns="http://schemas.openxmlformats.org/spreadsheetml/2006/main" count="108" uniqueCount="74">
  <si>
    <t>Sl. No</t>
  </si>
  <si>
    <t>Public Holidays</t>
  </si>
  <si>
    <t>Date</t>
  </si>
  <si>
    <t>管理No</t>
    <phoneticPr fontId="7"/>
  </si>
  <si>
    <t>ユーザー名</t>
  </si>
  <si>
    <t>プロジェクト名</t>
  </si>
  <si>
    <t>作業期間</t>
    <rPh sb="0" eb="2">
      <t>サギョウ</t>
    </rPh>
    <rPh sb="2" eb="4">
      <t>キカン</t>
    </rPh>
    <phoneticPr fontId="7"/>
  </si>
  <si>
    <t>～</t>
    <phoneticPr fontId="9"/>
  </si>
  <si>
    <t>#</t>
  </si>
  <si>
    <t>%</t>
  </si>
  <si>
    <t>Tue</t>
  </si>
  <si>
    <t>Wed</t>
  </si>
  <si>
    <t>Thu</t>
  </si>
  <si>
    <t>Fri</t>
  </si>
  <si>
    <t>Sat</t>
  </si>
  <si>
    <t>Sun</t>
  </si>
  <si>
    <r>
      <t>M</t>
    </r>
    <r>
      <rPr>
        <sz val="11"/>
        <color theme="1"/>
        <rFont val="Calibri"/>
        <family val="2"/>
        <scheme val="minor"/>
      </rPr>
      <t>on</t>
    </r>
    <phoneticPr fontId="5"/>
  </si>
  <si>
    <t>月</t>
    <rPh sb="0" eb="1">
      <t>ゲツ</t>
    </rPh>
    <phoneticPr fontId="5"/>
  </si>
  <si>
    <t>火</t>
    <rPh sb="0" eb="1">
      <t>ヒ</t>
    </rPh>
    <phoneticPr fontId="5"/>
  </si>
  <si>
    <t>水</t>
    <rPh sb="0" eb="1">
      <t>スイ</t>
    </rPh>
    <phoneticPr fontId="5"/>
  </si>
  <si>
    <t>木</t>
    <rPh sb="0" eb="1">
      <t>キ</t>
    </rPh>
    <phoneticPr fontId="5"/>
  </si>
  <si>
    <t>金</t>
    <rPh sb="0" eb="1">
      <t>キン</t>
    </rPh>
    <phoneticPr fontId="5"/>
  </si>
  <si>
    <t>土</t>
    <rPh sb="0" eb="1">
      <t>ツチ</t>
    </rPh>
    <phoneticPr fontId="5"/>
  </si>
  <si>
    <t>日</t>
    <rPh sb="0" eb="1">
      <t>ヒ</t>
    </rPh>
    <phoneticPr fontId="5"/>
  </si>
  <si>
    <t>Eng</t>
    <phoneticPr fontId="5"/>
  </si>
  <si>
    <t>JP</t>
    <phoneticPr fontId="5"/>
  </si>
  <si>
    <t>Member</t>
    <phoneticPr fontId="5"/>
  </si>
  <si>
    <t>HPB9</t>
  </si>
  <si>
    <t>HPB10</t>
  </si>
  <si>
    <t>HPB11</t>
  </si>
  <si>
    <t>HPB12</t>
  </si>
  <si>
    <t>HPB13</t>
  </si>
  <si>
    <t>HPB14</t>
  </si>
  <si>
    <t>HPB15</t>
  </si>
  <si>
    <t>HPB16</t>
  </si>
  <si>
    <t>HPB17</t>
  </si>
  <si>
    <t>HPB18</t>
  </si>
  <si>
    <t>HPB19</t>
  </si>
  <si>
    <t>HPB20</t>
  </si>
  <si>
    <t>担当</t>
    <phoneticPr fontId="5"/>
  </si>
  <si>
    <t>開始日</t>
    <phoneticPr fontId="5"/>
  </si>
  <si>
    <t>努力（日）</t>
    <phoneticPr fontId="5"/>
  </si>
  <si>
    <t>Khoa</t>
  </si>
  <si>
    <t>Đức</t>
  </si>
  <si>
    <t>作業項目</t>
  </si>
  <si>
    <t>Mi</t>
  </si>
  <si>
    <t>Loan</t>
  </si>
  <si>
    <t>Dung</t>
  </si>
  <si>
    <t>Kiến</t>
  </si>
  <si>
    <t>↓↓↓　　TEST　　↓↓↓　T</t>
  </si>
  <si>
    <t>↓↓↓　　CODE　↓↓↓　</t>
  </si>
  <si>
    <t>TRAINING</t>
  </si>
  <si>
    <t>↓↓↓　　EVIDENCE　　↓↓↓</t>
  </si>
  <si>
    <t>ngày hoàn thành thực tế</t>
  </si>
  <si>
    <t>Login</t>
  </si>
  <si>
    <t>GasStationList</t>
  </si>
  <si>
    <t>GasStationAdd</t>
  </si>
  <si>
    <t>GasStationEdit</t>
  </si>
  <si>
    <t>GasStationFeedbackView</t>
  </si>
  <si>
    <t>GasStationMap</t>
  </si>
  <si>
    <t>Dao Manh Hung</t>
    <phoneticPr fontId="5"/>
  </si>
  <si>
    <t>Hùng</t>
  </si>
  <si>
    <t>Hùng</t>
    <phoneticPr fontId="5"/>
  </si>
  <si>
    <t>16/07/2019</t>
  </si>
  <si>
    <t>終了日</t>
  </si>
  <si>
    <t>18/07/2019</t>
  </si>
  <si>
    <t>19/07/2019</t>
  </si>
  <si>
    <t>22/07/2019</t>
  </si>
  <si>
    <t>23/07/2019</t>
  </si>
  <si>
    <t>23/07/2020</t>
  </si>
  <si>
    <t>24/07/2019</t>
  </si>
  <si>
    <t>24/07/2020</t>
  </si>
  <si>
    <t>24/07/2021</t>
  </si>
  <si>
    <t>24/07/2022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</si>
</sst>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d"/>
    <numFmt numFmtId="165" formatCode="[$-411]ddd;@"/>
    <numFmt numFmtId="166" formatCode="yyyy/m/d;@"/>
    <numFmt numFmtId="167" formatCode="m&quot;月&quot;"/>
    <numFmt numFmtId="168" formatCode="0_);[Red]\(0\)"/>
  </numFmts>
  <fonts count="16"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sz val="6"/>
      <name val="Calibri"/>
      <family val="2"/>
      <charset val="128"/>
      <scheme val="minor"/>
    </font>
    <font>
      <sz val="10"/>
      <name val="ＭＳ ゴシック"/>
      <family val="3"/>
      <charset val="128"/>
    </font>
    <font>
      <sz val="6"/>
      <name val="ＭＳ Ｐゴシック"/>
      <family val="3"/>
      <charset val="128"/>
    </font>
    <font>
      <sz val="10"/>
      <color theme="1"/>
      <name val="ＭＳ ゴシック"/>
      <family val="3"/>
      <charset val="128"/>
    </font>
    <font>
      <sz val="6"/>
      <name val="Calibri"/>
      <family val="3"/>
      <charset val="128"/>
      <scheme val="minor"/>
    </font>
    <font>
      <sz val="8"/>
      <color theme="1"/>
      <name val="ＭＳ Ｐゴシック"/>
      <family val="3"/>
      <charset val="128"/>
    </font>
    <font>
      <b/>
      <sz val="10"/>
      <color theme="1"/>
      <name val="ＭＳ ゴシック"/>
      <family val="3"/>
      <charset val="128"/>
    </font>
    <font>
      <sz val="9"/>
      <name val="ＭＳ ゴシック"/>
      <family val="3"/>
      <charset val="128"/>
    </font>
    <font>
      <sz val="10"/>
      <color rgb="FFFF0000"/>
      <name val="ＭＳ ゴシック"/>
      <family val="3"/>
      <charset val="128"/>
    </font>
    <font>
      <b/>
      <sz val="10"/>
      <color rgb="FFFF0000"/>
      <name val="ＭＳ ゴシック"/>
      <family val="3"/>
      <charset val="128"/>
    </font>
    <font>
      <sz val="11"/>
      <color rgb="FF000000"/>
      <name val="游ゴシック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1CCF0"/>
        <bgColor indexed="64"/>
      </patternFill>
    </fill>
    <fill>
      <patternFill patternType="solid">
        <fgColor theme="4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84">
    <xf numFmtId="0" fontId="0" fillId="0" borderId="0" xfId="0">
      <alignment vertical="center"/>
    </xf>
    <xf numFmtId="0" fontId="4" fillId="2" borderId="1" xfId="1" applyFont="1" applyFill="1" applyBorder="1" applyAlignment="1">
      <alignment horizontal="center" vertical="center"/>
    </xf>
    <xf numFmtId="0" fontId="3" fillId="0" borderId="0" xfId="1"/>
    <xf numFmtId="0" fontId="4" fillId="0" borderId="1" xfId="1" applyFont="1" applyBorder="1" applyAlignment="1">
      <alignment horizontal="center"/>
    </xf>
    <xf numFmtId="0" fontId="4" fillId="0" borderId="1" xfId="1" applyFont="1" applyBorder="1"/>
    <xf numFmtId="0" fontId="8" fillId="0" borderId="0" xfId="1" applyFont="1" applyFill="1" applyAlignment="1" applyProtection="1">
      <alignment horizontal="center" vertical="center"/>
      <protection locked="0"/>
    </xf>
    <xf numFmtId="0" fontId="8" fillId="0" borderId="0" xfId="1" applyFont="1" applyAlignment="1" applyProtection="1">
      <alignment horizontal="left" vertical="top"/>
      <protection locked="0"/>
    </xf>
    <xf numFmtId="14" fontId="6" fillId="0" borderId="5" xfId="1" applyNumberFormat="1" applyFont="1" applyFill="1" applyBorder="1" applyAlignment="1" applyProtection="1">
      <alignment horizontal="center" vertical="center"/>
      <protection locked="0"/>
    </xf>
    <xf numFmtId="0" fontId="6" fillId="0" borderId="6" xfId="1" applyFont="1" applyFill="1" applyBorder="1" applyAlignment="1" applyProtection="1">
      <alignment horizontal="center" vertical="center"/>
      <protection locked="0"/>
    </xf>
    <xf numFmtId="0" fontId="8" fillId="0" borderId="0" xfId="1" applyFont="1" applyAlignment="1" applyProtection="1">
      <alignment horizontal="center" vertical="center"/>
      <protection locked="0"/>
    </xf>
    <xf numFmtId="0" fontId="8" fillId="0" borderId="0" xfId="1" applyFont="1" applyFill="1" applyAlignment="1" applyProtection="1">
      <alignment horizontal="left" vertical="top"/>
      <protection locked="0"/>
    </xf>
    <xf numFmtId="0" fontId="8" fillId="0" borderId="0" xfId="1" applyFont="1" applyFill="1" applyBorder="1" applyAlignment="1" applyProtection="1">
      <alignment horizontal="left" vertical="top"/>
      <protection locked="0"/>
    </xf>
    <xf numFmtId="0" fontId="8" fillId="0" borderId="0" xfId="1" applyFont="1" applyFill="1" applyBorder="1" applyAlignment="1" applyProtection="1">
      <alignment vertical="top"/>
      <protection locked="0"/>
    </xf>
    <xf numFmtId="0" fontId="3" fillId="0" borderId="1" xfId="1" applyBorder="1"/>
    <xf numFmtId="0" fontId="2" fillId="0" borderId="1" xfId="1" applyFont="1" applyBorder="1"/>
    <xf numFmtId="49" fontId="10" fillId="0" borderId="1" xfId="1" applyNumberFormat="1" applyFont="1" applyBorder="1" applyAlignment="1">
      <alignment horizontal="center" vertical="center"/>
    </xf>
    <xf numFmtId="166" fontId="4" fillId="0" borderId="1" xfId="1" applyNumberFormat="1" applyFont="1" applyBorder="1" applyAlignment="1">
      <alignment horizontal="center" vertical="center"/>
    </xf>
    <xf numFmtId="0" fontId="6" fillId="3" borderId="2" xfId="1" applyFont="1" applyFill="1" applyBorder="1" applyAlignment="1" applyProtection="1">
      <alignment vertical="center"/>
      <protection locked="0"/>
    </xf>
    <xf numFmtId="0" fontId="6" fillId="3" borderId="3" xfId="1" applyFont="1" applyFill="1" applyBorder="1" applyAlignment="1" applyProtection="1">
      <alignment vertical="center"/>
      <protection locked="0"/>
    </xf>
    <xf numFmtId="22" fontId="8" fillId="0" borderId="0" xfId="1" applyNumberFormat="1" applyFont="1" applyFill="1" applyAlignment="1" applyProtection="1">
      <alignment horizontal="center" vertical="center"/>
      <protection locked="0"/>
    </xf>
    <xf numFmtId="164" fontId="8" fillId="3" borderId="1" xfId="1" applyNumberFormat="1" applyFont="1" applyFill="1" applyBorder="1" applyAlignment="1" applyProtection="1">
      <alignment horizontal="center" vertical="center"/>
    </xf>
    <xf numFmtId="165" fontId="8" fillId="3" borderId="1" xfId="1" quotePrefix="1" applyNumberFormat="1" applyFont="1" applyFill="1" applyBorder="1" applyAlignment="1" applyProtection="1">
      <alignment horizontal="center" vertical="center"/>
    </xf>
    <xf numFmtId="0" fontId="8" fillId="0" borderId="7" xfId="1" applyFont="1" applyFill="1" applyBorder="1" applyAlignment="1" applyProtection="1">
      <alignment horizontal="center" vertical="center"/>
    </xf>
    <xf numFmtId="168" fontId="8" fillId="4" borderId="2" xfId="1" applyNumberFormat="1" applyFont="1" applyFill="1" applyBorder="1" applyAlignment="1" applyProtection="1">
      <alignment horizontal="left" vertical="center" indent="1"/>
      <protection locked="0"/>
    </xf>
    <xf numFmtId="0" fontId="8" fillId="4" borderId="3" xfId="1" applyFont="1" applyFill="1" applyBorder="1" applyAlignment="1" applyProtection="1">
      <alignment vertical="center"/>
      <protection locked="0"/>
    </xf>
    <xf numFmtId="14" fontId="8" fillId="4" borderId="8" xfId="1" applyNumberFormat="1" applyFont="1" applyFill="1" applyBorder="1" applyAlignment="1" applyProtection="1">
      <alignment horizontal="center" vertical="center"/>
      <protection locked="0"/>
    </xf>
    <xf numFmtId="0" fontId="8" fillId="4" borderId="8" xfId="1" applyFont="1" applyFill="1" applyBorder="1" applyAlignment="1" applyProtection="1">
      <alignment horizontal="center" vertical="center"/>
      <protection locked="0"/>
    </xf>
    <xf numFmtId="9" fontId="8" fillId="4" borderId="8" xfId="1" applyNumberFormat="1" applyFont="1" applyFill="1" applyBorder="1" applyAlignment="1" applyProtection="1">
      <alignment horizontal="center" vertical="center"/>
      <protection locked="0"/>
    </xf>
    <xf numFmtId="0" fontId="8" fillId="5" borderId="3" xfId="1" applyFont="1" applyFill="1" applyBorder="1" applyAlignment="1" applyProtection="1">
      <alignment vertical="center"/>
      <protection locked="0"/>
    </xf>
    <xf numFmtId="14" fontId="8" fillId="5" borderId="8" xfId="1" applyNumberFormat="1" applyFont="1" applyFill="1" applyBorder="1" applyAlignment="1" applyProtection="1">
      <alignment horizontal="center" vertical="center"/>
      <protection locked="0"/>
    </xf>
    <xf numFmtId="168" fontId="8" fillId="4" borderId="7" xfId="1" applyNumberFormat="1" applyFont="1" applyFill="1" applyBorder="1" applyAlignment="1" applyProtection="1">
      <alignment horizontal="center" vertical="center"/>
      <protection locked="0"/>
    </xf>
    <xf numFmtId="14" fontId="11" fillId="5" borderId="9" xfId="1" applyNumberFormat="1" applyFont="1" applyFill="1" applyBorder="1" applyAlignment="1" applyProtection="1">
      <alignment vertical="center"/>
      <protection locked="0"/>
    </xf>
    <xf numFmtId="168" fontId="8" fillId="5" borderId="7" xfId="1" applyNumberFormat="1" applyFont="1" applyFill="1" applyBorder="1" applyAlignment="1" applyProtection="1">
      <alignment horizontal="center" vertical="center"/>
      <protection locked="0"/>
    </xf>
    <xf numFmtId="0" fontId="8" fillId="4" borderId="12" xfId="1" applyFont="1" applyFill="1" applyBorder="1" applyAlignment="1" applyProtection="1">
      <alignment vertical="center"/>
      <protection locked="0"/>
    </xf>
    <xf numFmtId="14" fontId="11" fillId="6" borderId="9" xfId="1" applyNumberFormat="1" applyFont="1" applyFill="1" applyBorder="1" applyAlignment="1" applyProtection="1">
      <alignment vertical="center"/>
      <protection locked="0"/>
    </xf>
    <xf numFmtId="168" fontId="8" fillId="6" borderId="7" xfId="1" applyNumberFormat="1" applyFont="1" applyFill="1" applyBorder="1" applyAlignment="1" applyProtection="1">
      <alignment horizontal="center" vertical="center"/>
      <protection locked="0"/>
    </xf>
    <xf numFmtId="168" fontId="8" fillId="6" borderId="2" xfId="1" applyNumberFormat="1" applyFont="1" applyFill="1" applyBorder="1" applyAlignment="1" applyProtection="1">
      <alignment horizontal="left" vertical="center" indent="1"/>
      <protection locked="0"/>
    </xf>
    <xf numFmtId="0" fontId="8" fillId="6" borderId="3" xfId="1" applyFont="1" applyFill="1" applyBorder="1" applyAlignment="1" applyProtection="1">
      <alignment vertical="center"/>
      <protection locked="0"/>
    </xf>
    <xf numFmtId="14" fontId="8" fillId="6" borderId="8" xfId="1" applyNumberFormat="1" applyFont="1" applyFill="1" applyBorder="1" applyAlignment="1" applyProtection="1">
      <alignment horizontal="center" vertical="center"/>
      <protection locked="0"/>
    </xf>
    <xf numFmtId="0" fontId="8" fillId="6" borderId="8" xfId="1" applyFont="1" applyFill="1" applyBorder="1" applyAlignment="1" applyProtection="1">
      <alignment horizontal="center" vertical="center"/>
      <protection locked="0"/>
    </xf>
    <xf numFmtId="9" fontId="8" fillId="6" borderId="8" xfId="1" applyNumberFormat="1" applyFont="1" applyFill="1" applyBorder="1" applyAlignment="1" applyProtection="1">
      <alignment horizontal="center" vertical="center"/>
      <protection locked="0"/>
    </xf>
    <xf numFmtId="9" fontId="6" fillId="4" borderId="8" xfId="1" applyNumberFormat="1" applyFont="1" applyFill="1" applyBorder="1" applyAlignment="1" applyProtection="1">
      <alignment horizontal="center" vertical="center"/>
      <protection locked="0"/>
    </xf>
    <xf numFmtId="0" fontId="13" fillId="0" borderId="0" xfId="1" applyFont="1" applyAlignment="1" applyProtection="1">
      <alignment horizontal="left" vertical="top"/>
      <protection locked="0"/>
    </xf>
    <xf numFmtId="0" fontId="13" fillId="0" borderId="0" xfId="1" applyFont="1" applyFill="1" applyAlignment="1" applyProtection="1">
      <alignment horizontal="left" vertical="top"/>
      <protection locked="0"/>
    </xf>
    <xf numFmtId="14" fontId="14" fillId="4" borderId="4" xfId="1" applyNumberFormat="1" applyFont="1" applyFill="1" applyBorder="1" applyAlignment="1" applyProtection="1">
      <alignment horizontal="center" vertical="center"/>
      <protection locked="0"/>
    </xf>
    <xf numFmtId="14" fontId="14" fillId="6" borderId="4" xfId="1" applyNumberFormat="1" applyFont="1" applyFill="1" applyBorder="1" applyAlignment="1" applyProtection="1">
      <alignment horizontal="center" vertical="center"/>
      <protection locked="0"/>
    </xf>
    <xf numFmtId="14" fontId="14" fillId="5" borderId="4" xfId="1" applyNumberFormat="1" applyFont="1" applyFill="1" applyBorder="1" applyAlignment="1" applyProtection="1">
      <alignment horizontal="center" vertical="center"/>
      <protection locked="0"/>
    </xf>
    <xf numFmtId="0" fontId="13" fillId="0" borderId="0" xfId="1" applyFont="1" applyAlignment="1" applyProtection="1">
      <alignment horizontal="center" vertical="center"/>
      <protection locked="0"/>
    </xf>
    <xf numFmtId="0" fontId="8" fillId="6" borderId="12" xfId="1" applyFont="1" applyFill="1" applyBorder="1" applyAlignment="1" applyProtection="1">
      <alignment vertical="center"/>
      <protection locked="0"/>
    </xf>
    <xf numFmtId="168" fontId="8" fillId="5" borderId="2" xfId="1" applyNumberFormat="1" applyFont="1" applyFill="1" applyBorder="1" applyAlignment="1" applyProtection="1">
      <alignment horizontal="left" vertical="center" indent="1"/>
      <protection locked="0"/>
    </xf>
    <xf numFmtId="0" fontId="8" fillId="5" borderId="12" xfId="1" applyFont="1" applyFill="1" applyBorder="1" applyAlignment="1" applyProtection="1">
      <alignment vertical="center"/>
      <protection locked="0"/>
    </xf>
    <xf numFmtId="0" fontId="8" fillId="6" borderId="8" xfId="1" applyFont="1" applyFill="1" applyBorder="1" applyAlignment="1" applyProtection="1">
      <alignment horizontal="center" vertical="center"/>
      <protection locked="0"/>
    </xf>
    <xf numFmtId="0" fontId="8" fillId="4" borderId="8" xfId="1" applyFont="1" applyFill="1" applyBorder="1" applyAlignment="1" applyProtection="1">
      <alignment horizontal="center" vertical="center"/>
      <protection locked="0"/>
    </xf>
    <xf numFmtId="164" fontId="8" fillId="3" borderId="13" xfId="1" applyNumberFormat="1" applyFont="1" applyFill="1" applyBorder="1" applyAlignment="1" applyProtection="1">
      <alignment horizontal="center" vertical="center"/>
    </xf>
    <xf numFmtId="165" fontId="8" fillId="3" borderId="13" xfId="1" quotePrefix="1" applyNumberFormat="1" applyFont="1" applyFill="1" applyBorder="1" applyAlignment="1" applyProtection="1">
      <alignment horizontal="center" vertical="center"/>
    </xf>
    <xf numFmtId="0" fontId="8" fillId="0" borderId="13" xfId="1" applyFont="1" applyFill="1" applyBorder="1" applyAlignment="1" applyProtection="1">
      <alignment horizontal="center" vertical="center"/>
    </xf>
    <xf numFmtId="0" fontId="8" fillId="5" borderId="8" xfId="1" applyFont="1" applyFill="1" applyBorder="1" applyAlignment="1" applyProtection="1">
      <alignment horizontal="center" vertical="center"/>
      <protection locked="0"/>
    </xf>
    <xf numFmtId="9" fontId="8" fillId="5" borderId="8" xfId="1" applyNumberFormat="1" applyFont="1" applyFill="1" applyBorder="1" applyAlignment="1" applyProtection="1">
      <alignment horizontal="center" vertical="center"/>
      <protection locked="0"/>
    </xf>
    <xf numFmtId="167" fontId="8" fillId="3" borderId="2" xfId="1" applyNumberFormat="1" applyFont="1" applyFill="1" applyBorder="1" applyAlignment="1" applyProtection="1">
      <alignment horizontal="center" vertical="center"/>
    </xf>
    <xf numFmtId="167" fontId="8" fillId="3" borderId="3" xfId="1" applyNumberFormat="1" applyFont="1" applyFill="1" applyBorder="1" applyAlignment="1" applyProtection="1">
      <alignment horizontal="center" vertical="center"/>
    </xf>
    <xf numFmtId="167" fontId="8" fillId="3" borderId="4" xfId="1" applyNumberFormat="1" applyFont="1" applyFill="1" applyBorder="1" applyAlignment="1" applyProtection="1">
      <alignment horizontal="center" vertical="center"/>
    </xf>
    <xf numFmtId="0" fontId="8" fillId="3" borderId="2" xfId="1" applyFont="1" applyFill="1" applyBorder="1" applyAlignment="1" applyProtection="1">
      <alignment horizontal="center" vertical="center" wrapText="1"/>
      <protection locked="0"/>
    </xf>
    <xf numFmtId="0" fontId="8" fillId="3" borderId="1" xfId="1" applyFont="1" applyFill="1" applyBorder="1" applyAlignment="1" applyProtection="1">
      <alignment horizontal="center" vertical="center"/>
      <protection locked="0"/>
    </xf>
    <xf numFmtId="0" fontId="6" fillId="0" borderId="1" xfId="1" applyFont="1" applyFill="1" applyBorder="1" applyAlignment="1" applyProtection="1">
      <alignment horizontal="left" vertical="center" indent="1"/>
      <protection locked="0"/>
    </xf>
    <xf numFmtId="0" fontId="6" fillId="0" borderId="2" xfId="1" applyFont="1" applyFill="1" applyBorder="1" applyAlignment="1" applyProtection="1">
      <alignment horizontal="left" vertical="center" indent="1"/>
      <protection locked="0"/>
    </xf>
    <xf numFmtId="0" fontId="6" fillId="0" borderId="3" xfId="1" applyFont="1" applyFill="1" applyBorder="1" applyAlignment="1" applyProtection="1">
      <alignment horizontal="left" vertical="center" indent="1"/>
      <protection locked="0"/>
    </xf>
    <xf numFmtId="0" fontId="6" fillId="0" borderId="4" xfId="1" applyFont="1" applyFill="1" applyBorder="1" applyAlignment="1" applyProtection="1">
      <alignment horizontal="left" vertical="center" indent="1"/>
      <protection locked="0"/>
    </xf>
    <xf numFmtId="0" fontId="12" fillId="0" borderId="2" xfId="1" applyFont="1" applyFill="1" applyBorder="1" applyAlignment="1" applyProtection="1">
      <alignment horizontal="left" vertical="center" indent="1"/>
      <protection locked="0"/>
    </xf>
    <xf numFmtId="0" fontId="12" fillId="0" borderId="3" xfId="1" applyFont="1" applyFill="1" applyBorder="1" applyAlignment="1" applyProtection="1">
      <alignment horizontal="left" vertical="center" indent="1"/>
      <protection locked="0"/>
    </xf>
    <xf numFmtId="0" fontId="12" fillId="0" borderId="4" xfId="1" applyFont="1" applyFill="1" applyBorder="1" applyAlignment="1" applyProtection="1">
      <alignment horizontal="left" vertical="center" indent="1"/>
      <protection locked="0"/>
    </xf>
    <xf numFmtId="0" fontId="13" fillId="3" borderId="10" xfId="1" applyFont="1" applyFill="1" applyBorder="1" applyAlignment="1" applyProtection="1">
      <alignment horizontal="center" vertical="center" wrapText="1"/>
      <protection locked="0"/>
    </xf>
    <xf numFmtId="0" fontId="13" fillId="3" borderId="11" xfId="1" applyFont="1" applyFill="1" applyBorder="1" applyAlignment="1" applyProtection="1">
      <alignment horizontal="center" vertical="center" wrapText="1"/>
      <protection locked="0"/>
    </xf>
    <xf numFmtId="0" fontId="13" fillId="3" borderId="6" xfId="1" applyFont="1" applyFill="1" applyBorder="1" applyAlignment="1" applyProtection="1">
      <alignment horizontal="center" vertical="center" wrapText="1"/>
      <protection locked="0"/>
    </xf>
    <xf numFmtId="0" fontId="8" fillId="3" borderId="1" xfId="1" applyFont="1" applyFill="1" applyBorder="1" applyAlignment="1" applyProtection="1">
      <alignment horizontal="center" vertical="center" wrapText="1"/>
      <protection locked="0"/>
    </xf>
    <xf numFmtId="0" fontId="8" fillId="4" borderId="8" xfId="1" applyFont="1" applyFill="1" applyBorder="1" applyAlignment="1" applyProtection="1">
      <alignment horizontal="center" vertical="center"/>
      <protection locked="0"/>
    </xf>
    <xf numFmtId="0" fontId="8" fillId="6" borderId="8" xfId="1" applyFont="1" applyFill="1" applyBorder="1" applyAlignment="1" applyProtection="1">
      <alignment horizontal="center" vertical="center"/>
      <protection locked="0"/>
    </xf>
    <xf numFmtId="14" fontId="11" fillId="6" borderId="2" xfId="1" applyNumberFormat="1" applyFont="1" applyFill="1" applyBorder="1" applyAlignment="1" applyProtection="1">
      <alignment horizontal="center" vertical="center"/>
      <protection locked="0"/>
    </xf>
    <xf numFmtId="14" fontId="11" fillId="6" borderId="3" xfId="1" applyNumberFormat="1" applyFont="1" applyFill="1" applyBorder="1" applyAlignment="1" applyProtection="1">
      <alignment horizontal="center" vertical="center"/>
      <protection locked="0"/>
    </xf>
    <xf numFmtId="14" fontId="11" fillId="4" borderId="2" xfId="1" applyNumberFormat="1" applyFont="1" applyFill="1" applyBorder="1" applyAlignment="1" applyProtection="1">
      <alignment horizontal="center" vertical="center"/>
      <protection locked="0"/>
    </xf>
    <xf numFmtId="14" fontId="11" fillId="4" borderId="3" xfId="1" applyNumberFormat="1" applyFont="1" applyFill="1" applyBorder="1" applyAlignment="1" applyProtection="1">
      <alignment horizontal="center" vertical="center"/>
      <protection locked="0"/>
    </xf>
    <xf numFmtId="14" fontId="11" fillId="4" borderId="9" xfId="1" applyNumberFormat="1" applyFont="1" applyFill="1" applyBorder="1" applyAlignment="1" applyProtection="1">
      <alignment horizontal="center" vertical="center"/>
      <protection locked="0"/>
    </xf>
    <xf numFmtId="0" fontId="8" fillId="5" borderId="8" xfId="1" applyFont="1" applyFill="1" applyBorder="1" applyAlignment="1" applyProtection="1">
      <alignment horizontal="center" vertical="center"/>
      <protection locked="0"/>
    </xf>
    <xf numFmtId="14" fontId="11" fillId="5" borderId="2" xfId="1" applyNumberFormat="1" applyFont="1" applyFill="1" applyBorder="1" applyAlignment="1" applyProtection="1">
      <alignment horizontal="center" vertical="center"/>
      <protection locked="0"/>
    </xf>
    <xf numFmtId="14" fontId="11" fillId="5" borderId="3" xfId="1" applyNumberFormat="1" applyFont="1" applyFill="1" applyBorder="1" applyAlignment="1" applyProtection="1">
      <alignment horizontal="center" vertical="center"/>
      <protection locked="0"/>
    </xf>
  </cellXfs>
  <cellStyles count="2">
    <cellStyle name="Normal" xfId="0" builtinId="0"/>
    <cellStyle name="Normal 2" xfId="1"/>
  </cellStyles>
  <dxfs count="79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color auto="1"/>
      </font>
      <fill>
        <patternFill>
          <bgColor theme="8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0" tint="-0.34998626667073579"/>
        </patternFill>
      </fill>
    </dxf>
    <dxf>
      <fill>
        <patternFill patternType="mediumGray">
          <fgColor theme="4" tint="0.59996337778862885"/>
          <bgColor theme="3" tint="-0.24994659260841701"/>
        </patternFill>
      </fill>
    </dxf>
    <dxf>
      <fill>
        <patternFill patternType="mediumGray">
          <fgColor theme="0" tint="-0.14996795556505021"/>
          <bgColor theme="5" tint="-0.24994659260841701"/>
        </patternFill>
      </fill>
    </dxf>
    <dxf>
      <fill>
        <patternFill patternType="mediumGray">
          <bgColor theme="9" tint="0.39994506668294322"/>
        </patternFill>
      </fill>
    </dxf>
    <dxf>
      <fill>
        <patternFill patternType="mediumGray">
          <bgColor theme="3" tint="0.399914548173467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fgColor auto="1"/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ill>
        <patternFill>
          <bgColor theme="5" tint="0.59996337778862885"/>
        </patternFill>
      </fill>
    </dxf>
    <dxf>
      <font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0" tint="-0.34998626667073579"/>
        </patternFill>
      </fill>
    </dxf>
    <dxf>
      <font>
        <color rgb="FFFF0000"/>
      </font>
    </dxf>
    <dxf>
      <font>
        <color rgb="FFFF0000"/>
      </font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5" tint="0.59996337778862885"/>
        </patternFill>
      </fill>
    </dxf>
    <dxf>
      <font>
        <color rgb="FFFF0000"/>
      </font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0" tint="-0.34998626667073579"/>
        </patternFill>
      </fill>
    </dxf>
    <dxf>
      <font>
        <color rgb="FFFF0000"/>
      </font>
    </dxf>
    <dxf>
      <fill>
        <patternFill>
          <bgColor rgb="FFFFC000"/>
        </patternFill>
      </fill>
    </dxf>
    <dxf>
      <fill>
        <patternFill>
          <bgColor theme="0" tint="-0.34998626667073579"/>
        </patternFill>
      </fill>
    </dxf>
  </dxfs>
  <tableStyles count="0" defaultTableStyle="TableStyleMedium2" defaultPivotStyle="PivotStyleLight16"/>
  <colors>
    <mruColors>
      <color rgb="FFE1CCF0"/>
      <color rgb="FFFF4747"/>
      <color rgb="FFC1FFFF"/>
      <color rgb="FF66FFFF"/>
      <color rgb="FFFFF0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504825</xdr:colOff>
          <xdr:row>3</xdr:row>
          <xdr:rowOff>0</xdr:rowOff>
        </xdr:from>
        <xdr:to>
          <xdr:col>8</xdr:col>
          <xdr:colOff>485775</xdr:colOff>
          <xdr:row>3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dule">
    <pageSetUpPr fitToPage="1"/>
  </sheetPr>
  <dimension ref="A1:AC30"/>
  <sheetViews>
    <sheetView tabSelected="1" zoomScale="85" zoomScaleNormal="85" zoomScaleSheetLayoutView="85" workbookViewId="0">
      <pane ySplit="9" topLeftCell="A19" activePane="bottomLeft" state="frozen"/>
      <selection pane="bottomLeft" activeCell="W15" sqref="W15"/>
    </sheetView>
  </sheetViews>
  <sheetFormatPr defaultColWidth="9.140625" defaultRowHeight="18.75" customHeight="1"/>
  <cols>
    <col min="1" max="1" width="5.5703125" style="9" customWidth="1"/>
    <col min="2" max="4" width="5.140625" style="9" customWidth="1"/>
    <col min="5" max="5" width="27.85546875" style="6" customWidth="1"/>
    <col min="6" max="6" width="2.85546875" style="9" customWidth="1"/>
    <col min="7" max="7" width="14.140625" style="9" customWidth="1"/>
    <col min="8" max="8" width="11" style="9" customWidth="1"/>
    <col min="9" max="9" width="12.85546875" style="9" customWidth="1"/>
    <col min="10" max="10" width="11.5703125" style="9" customWidth="1"/>
    <col min="11" max="11" width="8.140625" style="9" customWidth="1"/>
    <col min="12" max="12" width="13.28515625" style="47" customWidth="1"/>
    <col min="13" max="13" width="3.7109375" style="6" customWidth="1"/>
    <col min="14" max="48" width="3.7109375" style="10" customWidth="1"/>
    <col min="49" max="125" width="3.5703125" style="10" customWidth="1"/>
    <col min="126" max="16384" width="9.140625" style="10"/>
  </cols>
  <sheetData>
    <row r="1" spans="1:29" ht="18.75" customHeight="1">
      <c r="A1" s="17" t="s">
        <v>3</v>
      </c>
      <c r="B1" s="18"/>
      <c r="C1" s="18"/>
      <c r="D1" s="18"/>
      <c r="E1" s="63">
        <v>201907</v>
      </c>
      <c r="F1" s="63"/>
      <c r="G1" s="63"/>
      <c r="H1" s="19"/>
      <c r="I1" s="5"/>
      <c r="J1" s="5"/>
      <c r="K1" s="6"/>
      <c r="L1" s="42"/>
    </row>
    <row r="2" spans="1:29" ht="18.75" customHeight="1">
      <c r="A2" s="17" t="s">
        <v>4</v>
      </c>
      <c r="B2" s="18"/>
      <c r="C2" s="18"/>
      <c r="D2" s="18"/>
      <c r="E2" s="64" t="s">
        <v>60</v>
      </c>
      <c r="F2" s="65"/>
      <c r="G2" s="66"/>
      <c r="H2" s="10"/>
      <c r="I2" s="10"/>
      <c r="J2" s="10"/>
      <c r="K2" s="10"/>
      <c r="L2" s="43"/>
      <c r="M2" s="10"/>
    </row>
    <row r="3" spans="1:29" ht="18.75" customHeight="1">
      <c r="A3" s="17" t="s">
        <v>5</v>
      </c>
      <c r="B3" s="18"/>
      <c r="C3" s="18"/>
      <c r="D3" s="18"/>
      <c r="E3" s="67" t="s">
        <v>51</v>
      </c>
      <c r="F3" s="68"/>
      <c r="G3" s="69"/>
      <c r="H3" s="10"/>
      <c r="I3" s="10"/>
      <c r="J3" s="10"/>
      <c r="K3" s="10"/>
      <c r="L3" s="43"/>
      <c r="M3" s="10"/>
    </row>
    <row r="4" spans="1:29" ht="18.75" customHeight="1">
      <c r="A4" s="17" t="s">
        <v>6</v>
      </c>
      <c r="B4" s="18"/>
      <c r="C4" s="18"/>
      <c r="D4" s="18"/>
      <c r="E4" s="7">
        <v>43663</v>
      </c>
      <c r="F4" s="8" t="s">
        <v>7</v>
      </c>
      <c r="G4" s="7">
        <v>43658</v>
      </c>
      <c r="J4" s="6"/>
      <c r="K4" s="6"/>
      <c r="L4" s="42"/>
    </row>
    <row r="7" spans="1:29" s="11" customFormat="1" ht="18.75" customHeight="1">
      <c r="A7" s="62" t="s">
        <v>8</v>
      </c>
      <c r="B7" s="62" t="s">
        <v>44</v>
      </c>
      <c r="C7" s="62"/>
      <c r="D7" s="62"/>
      <c r="E7" s="62"/>
      <c r="F7" s="62" t="s">
        <v>39</v>
      </c>
      <c r="G7" s="62"/>
      <c r="H7" s="62" t="s">
        <v>40</v>
      </c>
      <c r="I7" s="62" t="s">
        <v>64</v>
      </c>
      <c r="J7" s="73" t="s">
        <v>41</v>
      </c>
      <c r="K7" s="61" t="s">
        <v>9</v>
      </c>
      <c r="L7" s="70" t="s">
        <v>53</v>
      </c>
      <c r="M7" s="58">
        <f>E4</f>
        <v>43663</v>
      </c>
      <c r="N7" s="59"/>
      <c r="O7" s="59"/>
      <c r="P7" s="59"/>
      <c r="Q7" s="60"/>
      <c r="R7" s="58">
        <f xml:space="preserve"> M7 + 5</f>
        <v>43668</v>
      </c>
      <c r="S7" s="59"/>
      <c r="T7" s="59"/>
      <c r="U7" s="59"/>
      <c r="V7" s="59"/>
      <c r="W7" s="59"/>
      <c r="X7" s="59"/>
      <c r="Y7" s="59"/>
      <c r="Z7" s="59"/>
      <c r="AA7" s="59"/>
      <c r="AB7" s="59"/>
      <c r="AC7" s="60"/>
    </row>
    <row r="8" spans="1:29" s="11" customFormat="1" ht="18.75" customHeight="1">
      <c r="A8" s="62"/>
      <c r="B8" s="62"/>
      <c r="C8" s="62"/>
      <c r="D8" s="62"/>
      <c r="E8" s="62"/>
      <c r="F8" s="62"/>
      <c r="G8" s="62"/>
      <c r="H8" s="62"/>
      <c r="I8" s="62"/>
      <c r="J8" s="73"/>
      <c r="K8" s="61"/>
      <c r="L8" s="71"/>
      <c r="M8" s="20">
        <f>$E$4</f>
        <v>43663</v>
      </c>
      <c r="N8" s="20">
        <f xml:space="preserve"> M8 + 1</f>
        <v>43664</v>
      </c>
      <c r="O8" s="20">
        <f xml:space="preserve"> M8 + 2</f>
        <v>43665</v>
      </c>
      <c r="P8" s="20">
        <f xml:space="preserve"> M8 + 3</f>
        <v>43666</v>
      </c>
      <c r="Q8" s="20">
        <f xml:space="preserve"> M8 + 4</f>
        <v>43667</v>
      </c>
      <c r="R8" s="20">
        <f xml:space="preserve"> M8 + 5</f>
        <v>43668</v>
      </c>
      <c r="S8" s="20">
        <f xml:space="preserve"> M8 + 6</f>
        <v>43669</v>
      </c>
      <c r="T8" s="20">
        <f xml:space="preserve"> M8 + 7</f>
        <v>43670</v>
      </c>
      <c r="U8" s="20">
        <f xml:space="preserve"> M8 + 8</f>
        <v>43671</v>
      </c>
      <c r="V8" s="20">
        <f xml:space="preserve"> M8 + 9</f>
        <v>43672</v>
      </c>
      <c r="W8" s="20">
        <f xml:space="preserve"> M8 + 10</f>
        <v>43673</v>
      </c>
      <c r="X8" s="20">
        <f xml:space="preserve"> M8 + 11</f>
        <v>43674</v>
      </c>
      <c r="Y8" s="20">
        <f xml:space="preserve"> M8 + 12</f>
        <v>43675</v>
      </c>
      <c r="Z8" s="20">
        <f xml:space="preserve"> M8 + 13</f>
        <v>43676</v>
      </c>
      <c r="AA8" s="20">
        <f xml:space="preserve"> M8 + 14</f>
        <v>43677</v>
      </c>
      <c r="AB8" s="20">
        <f xml:space="preserve"> M8 + 15</f>
        <v>43678</v>
      </c>
      <c r="AC8" s="53">
        <f xml:space="preserve"> M8 + 16</f>
        <v>43679</v>
      </c>
    </row>
    <row r="9" spans="1:29" s="12" customFormat="1" ht="18.75" customHeight="1">
      <c r="A9" s="62"/>
      <c r="B9" s="62"/>
      <c r="C9" s="62"/>
      <c r="D9" s="62"/>
      <c r="E9" s="62"/>
      <c r="F9" s="62"/>
      <c r="G9" s="62"/>
      <c r="H9" s="62"/>
      <c r="I9" s="62"/>
      <c r="J9" s="73"/>
      <c r="K9" s="61"/>
      <c r="L9" s="72"/>
      <c r="M9" s="21" t="str">
        <f>VLOOKUP(TEXT(M8,"ddd"), Config!$F$2:$G$8, 2,FALSE)</f>
        <v>水</v>
      </c>
      <c r="N9" s="21" t="str">
        <f>VLOOKUP(TEXT(N8,"ddd"), Config!$F$2:$G$8, 2,FALSE)</f>
        <v>木</v>
      </c>
      <c r="O9" s="21" t="str">
        <f>VLOOKUP(TEXT(O8,"ddd"), Config!$F$2:$G$8, 2,FALSE)</f>
        <v>金</v>
      </c>
      <c r="P9" s="21" t="str">
        <f>VLOOKUP(TEXT(P8,"ddd"), Config!$F$2:$G$8, 2,FALSE)</f>
        <v>土</v>
      </c>
      <c r="Q9" s="21" t="str">
        <f>VLOOKUP(TEXT(Q8,"ddd"), Config!$F$2:$G$8, 2,FALSE)</f>
        <v>日</v>
      </c>
      <c r="R9" s="21" t="str">
        <f>VLOOKUP(TEXT(R8,"ddd"), Config!$F$2:$G$8, 2,FALSE)</f>
        <v>月</v>
      </c>
      <c r="S9" s="21" t="str">
        <f>VLOOKUP(TEXT(S8,"ddd"), Config!$F$2:$G$8, 2,FALSE)</f>
        <v>火</v>
      </c>
      <c r="T9" s="21" t="str">
        <f>VLOOKUP(TEXT(T8,"ddd"), Config!$F$2:$G$8, 2,FALSE)</f>
        <v>水</v>
      </c>
      <c r="U9" s="21" t="str">
        <f>VLOOKUP(TEXT(U8,"ddd"), Config!$F$2:$G$8, 2,FALSE)</f>
        <v>木</v>
      </c>
      <c r="V9" s="21" t="str">
        <f>VLOOKUP(TEXT(V8,"ddd"), Config!$F$2:$G$8, 2,FALSE)</f>
        <v>金</v>
      </c>
      <c r="W9" s="21" t="str">
        <f>VLOOKUP(TEXT(W8,"ddd"), Config!$F$2:$G$8, 2,FALSE)</f>
        <v>土</v>
      </c>
      <c r="X9" s="21" t="str">
        <f>VLOOKUP(TEXT(X8,"ddd"), Config!$F$2:$G$8, 2,FALSE)</f>
        <v>日</v>
      </c>
      <c r="Y9" s="21" t="str">
        <f>VLOOKUP(TEXT(Y8,"ddd"), Config!$F$2:$G$8, 2,FALSE)</f>
        <v>月</v>
      </c>
      <c r="Z9" s="21" t="str">
        <f>VLOOKUP(TEXT(Z8,"ddd"), Config!$F$2:$G$8, 2,FALSE)</f>
        <v>火</v>
      </c>
      <c r="AA9" s="21" t="str">
        <f>VLOOKUP(TEXT(AA8,"ddd"), Config!$F$2:$G$8, 2,FALSE)</f>
        <v>水</v>
      </c>
      <c r="AB9" s="21" t="str">
        <f>VLOOKUP(TEXT(AB8,"ddd"), Config!$F$2:$G$8, 2,FALSE)</f>
        <v>木</v>
      </c>
      <c r="AC9" s="54" t="str">
        <f>VLOOKUP(TEXT(AC8,"ddd"), Config!$F$2:$G$8, 2,FALSE)</f>
        <v>金</v>
      </c>
    </row>
    <row r="10" spans="1:29" ht="19.5" customHeight="1">
      <c r="A10" s="78" t="s">
        <v>50</v>
      </c>
      <c r="B10" s="79"/>
      <c r="C10" s="79"/>
      <c r="D10" s="79"/>
      <c r="E10" s="79"/>
      <c r="F10" s="79"/>
      <c r="G10" s="79"/>
      <c r="H10" s="79"/>
      <c r="I10" s="79"/>
      <c r="J10" s="79"/>
      <c r="K10" s="80"/>
      <c r="L10" s="44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55"/>
    </row>
    <row r="11" spans="1:29" ht="18.75" customHeight="1">
      <c r="A11" s="30">
        <f>MAX($A$10:A10)+1</f>
        <v>1</v>
      </c>
      <c r="B11" s="23" t="s">
        <v>54</v>
      </c>
      <c r="C11" s="24"/>
      <c r="D11" s="24"/>
      <c r="E11" s="33"/>
      <c r="F11" s="74" t="s">
        <v>61</v>
      </c>
      <c r="G11" s="74"/>
      <c r="H11" s="25">
        <v>43663</v>
      </c>
      <c r="I11" s="25">
        <f>WORKDAY(H11,ROUNDUP(J11, 0)-1,Config!$C$2:$C$21)</f>
        <v>43663</v>
      </c>
      <c r="J11" s="26">
        <v>0.5</v>
      </c>
      <c r="K11" s="27">
        <v>1</v>
      </c>
      <c r="L11" s="25" t="s">
        <v>63</v>
      </c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55"/>
    </row>
    <row r="12" spans="1:29" ht="18.75" customHeight="1">
      <c r="A12" s="30">
        <f>MAX($A$10:A11)+1</f>
        <v>2</v>
      </c>
      <c r="B12" s="23" t="s">
        <v>55</v>
      </c>
      <c r="C12" s="24"/>
      <c r="D12" s="24"/>
      <c r="E12" s="33"/>
      <c r="F12" s="74" t="s">
        <v>61</v>
      </c>
      <c r="G12" s="74"/>
      <c r="H12" s="25">
        <v>43663</v>
      </c>
      <c r="I12" s="25">
        <f>WORKDAY(H12,ROUNDUP(J12, 0)-1,Config!$C$2:$C$21)</f>
        <v>43664</v>
      </c>
      <c r="J12" s="26">
        <v>1.5</v>
      </c>
      <c r="K12" s="27">
        <v>1</v>
      </c>
      <c r="L12" s="25" t="s">
        <v>65</v>
      </c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55"/>
    </row>
    <row r="13" spans="1:29" ht="18.75" customHeight="1">
      <c r="A13" s="30">
        <f>MAX($A$10:A12)+1</f>
        <v>3</v>
      </c>
      <c r="B13" s="23" t="s">
        <v>56</v>
      </c>
      <c r="C13" s="24"/>
      <c r="D13" s="24"/>
      <c r="E13" s="33"/>
      <c r="F13" s="74" t="s">
        <v>61</v>
      </c>
      <c r="G13" s="74"/>
      <c r="H13" s="25">
        <v>43665</v>
      </c>
      <c r="I13" s="25">
        <f>WORKDAY(H13,ROUNDUP(J13, 0)-1,Config!$C$2:$C$21)</f>
        <v>43665</v>
      </c>
      <c r="J13" s="52">
        <v>0.5</v>
      </c>
      <c r="K13" s="41">
        <v>1</v>
      </c>
      <c r="L13" s="25" t="s">
        <v>66</v>
      </c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55"/>
    </row>
    <row r="14" spans="1:29" ht="18.75" customHeight="1">
      <c r="A14" s="30">
        <f>MAX($A$10:A13)+1</f>
        <v>4</v>
      </c>
      <c r="B14" s="23" t="s">
        <v>57</v>
      </c>
      <c r="C14" s="24"/>
      <c r="D14" s="24"/>
      <c r="E14" s="33"/>
      <c r="F14" s="74" t="s">
        <v>61</v>
      </c>
      <c r="G14" s="74"/>
      <c r="H14" s="25">
        <v>43665</v>
      </c>
      <c r="I14" s="25">
        <f>WORKDAY(H14,ROUNDUP(J14, 0)-1,Config!$C$2:$C$21)</f>
        <v>43665</v>
      </c>
      <c r="J14" s="52">
        <v>0.5</v>
      </c>
      <c r="K14" s="27">
        <v>1</v>
      </c>
      <c r="L14" s="25" t="s">
        <v>66</v>
      </c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55"/>
    </row>
    <row r="15" spans="1:29" ht="18.75" customHeight="1">
      <c r="A15" s="30">
        <f>MAX($A$10:A14)+1</f>
        <v>5</v>
      </c>
      <c r="B15" s="23" t="s">
        <v>58</v>
      </c>
      <c r="C15" s="24"/>
      <c r="D15" s="24"/>
      <c r="E15" s="33"/>
      <c r="F15" s="74" t="s">
        <v>61</v>
      </c>
      <c r="G15" s="74"/>
      <c r="H15" s="25">
        <v>43668</v>
      </c>
      <c r="I15" s="25">
        <f>WORKDAY(H15,ROUNDUP(J15, 0)-1,Config!$C$2:$C$21)</f>
        <v>43669</v>
      </c>
      <c r="J15" s="52">
        <v>1.5</v>
      </c>
      <c r="K15" s="27">
        <v>1</v>
      </c>
      <c r="L15" s="25" t="s">
        <v>67</v>
      </c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55"/>
    </row>
    <row r="16" spans="1:29" ht="18.75" customHeight="1">
      <c r="A16" s="30">
        <f>MAX($A$10:A15)+1</f>
        <v>6</v>
      </c>
      <c r="B16" s="23" t="s">
        <v>59</v>
      </c>
      <c r="C16" s="24"/>
      <c r="D16" s="24"/>
      <c r="E16" s="33"/>
      <c r="F16" s="74"/>
      <c r="G16" s="74"/>
      <c r="H16" s="25"/>
      <c r="I16" s="25" t="e">
        <f>WORKDAY(H16,ROUNDUP(J16, 0)-1,Config!$C$2:$C$21)</f>
        <v>#NUM!</v>
      </c>
      <c r="J16" s="52"/>
      <c r="K16" s="41">
        <v>0.8</v>
      </c>
      <c r="L16" s="25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55"/>
    </row>
    <row r="17" spans="1:29" ht="19.5" customHeight="1">
      <c r="A17" s="76" t="s">
        <v>49</v>
      </c>
      <c r="B17" s="77"/>
      <c r="C17" s="77"/>
      <c r="D17" s="77"/>
      <c r="E17" s="77"/>
      <c r="F17" s="77"/>
      <c r="G17" s="77"/>
      <c r="H17" s="77"/>
      <c r="I17" s="77"/>
      <c r="J17" s="77"/>
      <c r="K17" s="34"/>
      <c r="L17" s="45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55"/>
    </row>
    <row r="18" spans="1:29" ht="19.5" customHeight="1">
      <c r="A18" s="35">
        <v>7</v>
      </c>
      <c r="B18" s="36" t="s">
        <v>54</v>
      </c>
      <c r="C18" s="37"/>
      <c r="D18" s="37"/>
      <c r="E18" s="48"/>
      <c r="F18" s="75" t="s">
        <v>61</v>
      </c>
      <c r="G18" s="75"/>
      <c r="H18" s="38">
        <v>43670</v>
      </c>
      <c r="I18" s="38">
        <f>WORKDAY(H18,ROUNDUP(J18, 0)-1,Config!$C$2:$C$21)</f>
        <v>43670</v>
      </c>
      <c r="J18" s="39">
        <v>0.2</v>
      </c>
      <c r="K18" s="40">
        <v>1</v>
      </c>
      <c r="L18" s="38" t="s">
        <v>63</v>
      </c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55"/>
    </row>
    <row r="19" spans="1:29" ht="18" customHeight="1">
      <c r="A19" s="35">
        <v>8</v>
      </c>
      <c r="B19" s="36" t="s">
        <v>55</v>
      </c>
      <c r="C19" s="37"/>
      <c r="D19" s="37"/>
      <c r="E19" s="48"/>
      <c r="F19" s="75" t="s">
        <v>61</v>
      </c>
      <c r="G19" s="75"/>
      <c r="H19" s="38">
        <v>43670</v>
      </c>
      <c r="I19" s="38">
        <f>WORKDAY(H19,ROUNDUP(J19, 0)-1,Config!$C$2:$C$21)</f>
        <v>43670</v>
      </c>
      <c r="J19" s="39">
        <v>0.2</v>
      </c>
      <c r="K19" s="40">
        <v>1</v>
      </c>
      <c r="L19" s="38" t="s">
        <v>66</v>
      </c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55"/>
    </row>
    <row r="20" spans="1:29" ht="18.75" customHeight="1">
      <c r="A20" s="35">
        <v>9</v>
      </c>
      <c r="B20" s="36" t="s">
        <v>56</v>
      </c>
      <c r="C20" s="37"/>
      <c r="D20" s="37"/>
      <c r="E20" s="48"/>
      <c r="F20" s="75" t="s">
        <v>61</v>
      </c>
      <c r="G20" s="75"/>
      <c r="H20" s="38">
        <v>43670</v>
      </c>
      <c r="I20" s="38">
        <f>WORKDAY(H20,ROUNDUP(J20, 0)-1,Config!$C$2:$C$21)</f>
        <v>43670</v>
      </c>
      <c r="J20" s="39">
        <v>0.2</v>
      </c>
      <c r="K20" s="40">
        <v>1</v>
      </c>
      <c r="L20" s="38" t="s">
        <v>66</v>
      </c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55"/>
    </row>
    <row r="21" spans="1:29" ht="19.5" customHeight="1">
      <c r="A21" s="35">
        <v>10</v>
      </c>
      <c r="B21" s="36" t="s">
        <v>57</v>
      </c>
      <c r="C21" s="37"/>
      <c r="D21" s="37"/>
      <c r="E21" s="48"/>
      <c r="F21" s="75" t="s">
        <v>61</v>
      </c>
      <c r="G21" s="75"/>
      <c r="H21" s="38">
        <v>43670</v>
      </c>
      <c r="I21" s="38">
        <f>WORKDAY(H21,ROUNDUP(J21, 0)-1,Config!$C$2:$C$21)</f>
        <v>43670</v>
      </c>
      <c r="J21" s="51">
        <v>0.2</v>
      </c>
      <c r="K21" s="40">
        <v>1</v>
      </c>
      <c r="L21" s="38" t="s">
        <v>68</v>
      </c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55"/>
    </row>
    <row r="22" spans="1:29" ht="18" customHeight="1">
      <c r="A22" s="35">
        <v>11</v>
      </c>
      <c r="B22" s="36" t="s">
        <v>58</v>
      </c>
      <c r="C22" s="37"/>
      <c r="D22" s="37"/>
      <c r="E22" s="48"/>
      <c r="F22" s="75" t="s">
        <v>61</v>
      </c>
      <c r="G22" s="75"/>
      <c r="H22" s="38">
        <v>43670</v>
      </c>
      <c r="I22" s="38">
        <f>WORKDAY(H22,ROUNDUP(J22, 0)-1,Config!$C$2:$C$21)</f>
        <v>43670</v>
      </c>
      <c r="J22" s="51">
        <v>0.2</v>
      </c>
      <c r="K22" s="40">
        <v>1</v>
      </c>
      <c r="L22" s="38" t="s">
        <v>69</v>
      </c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55"/>
    </row>
    <row r="23" spans="1:29" ht="18.75" customHeight="1">
      <c r="A23" s="35">
        <v>12</v>
      </c>
      <c r="B23" s="36" t="s">
        <v>59</v>
      </c>
      <c r="C23" s="37"/>
      <c r="D23" s="37"/>
      <c r="E23" s="48"/>
      <c r="F23" s="75"/>
      <c r="G23" s="75"/>
      <c r="H23" s="38"/>
      <c r="I23" s="38" t="e">
        <f>WORKDAY(H23,ROUNDUP(J23, 0)-1,Config!$C$2:$C$21)</f>
        <v>#NUM!</v>
      </c>
      <c r="J23" s="51"/>
      <c r="K23" s="40"/>
      <c r="L23" s="38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55"/>
    </row>
    <row r="24" spans="1:29" ht="18.75" customHeight="1">
      <c r="A24" s="82" t="s">
        <v>52</v>
      </c>
      <c r="B24" s="83"/>
      <c r="C24" s="83"/>
      <c r="D24" s="83"/>
      <c r="E24" s="83"/>
      <c r="F24" s="83"/>
      <c r="G24" s="83"/>
      <c r="H24" s="83"/>
      <c r="I24" s="83"/>
      <c r="J24" s="83"/>
      <c r="K24" s="31"/>
      <c r="L24" s="46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55"/>
    </row>
    <row r="25" spans="1:29" ht="18.75" customHeight="1">
      <c r="A25" s="32">
        <v>13</v>
      </c>
      <c r="B25" s="49" t="s">
        <v>54</v>
      </c>
      <c r="C25" s="28"/>
      <c r="D25" s="28"/>
      <c r="E25" s="50"/>
      <c r="F25" s="81" t="s">
        <v>61</v>
      </c>
      <c r="G25" s="81"/>
      <c r="H25" s="29">
        <v>43671</v>
      </c>
      <c r="I25" s="29">
        <f>WORKDAY(H25,ROUNDUP(J25, 0)-1,Config!$C$2:$C$21)</f>
        <v>43671</v>
      </c>
      <c r="J25" s="56">
        <v>0.1</v>
      </c>
      <c r="K25" s="57">
        <v>1</v>
      </c>
      <c r="L25" s="29" t="s">
        <v>63</v>
      </c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55"/>
    </row>
    <row r="26" spans="1:29" ht="18.75" customHeight="1">
      <c r="A26" s="32">
        <f>MAX($A$24:A25)+1</f>
        <v>14</v>
      </c>
      <c r="B26" s="49" t="s">
        <v>55</v>
      </c>
      <c r="C26" s="28"/>
      <c r="D26" s="28"/>
      <c r="E26" s="50"/>
      <c r="F26" s="81" t="s">
        <v>61</v>
      </c>
      <c r="G26" s="81"/>
      <c r="H26" s="29">
        <v>43671</v>
      </c>
      <c r="I26" s="29">
        <f>WORKDAY(H26,ROUNDUP(J26, 0)-1,Config!$C$2:$C$21)</f>
        <v>43671</v>
      </c>
      <c r="J26" s="56">
        <v>0.1</v>
      </c>
      <c r="K26" s="57">
        <v>1</v>
      </c>
      <c r="L26" s="29" t="s">
        <v>70</v>
      </c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55"/>
    </row>
    <row r="27" spans="1:29" ht="18.75" customHeight="1">
      <c r="A27" s="32">
        <f>MAX($A$24:A26)+1</f>
        <v>15</v>
      </c>
      <c r="B27" s="49" t="s">
        <v>56</v>
      </c>
      <c r="C27" s="28"/>
      <c r="D27" s="28"/>
      <c r="E27" s="50"/>
      <c r="F27" s="81" t="s">
        <v>61</v>
      </c>
      <c r="G27" s="81"/>
      <c r="H27" s="29">
        <v>43671</v>
      </c>
      <c r="I27" s="29">
        <f>WORKDAY(H27,ROUNDUP(J27, 0)-1,Config!$C$2:$C$21)</f>
        <v>43671</v>
      </c>
      <c r="J27" s="56">
        <v>0.1</v>
      </c>
      <c r="K27" s="57">
        <v>1</v>
      </c>
      <c r="L27" s="29" t="s">
        <v>71</v>
      </c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55"/>
    </row>
    <row r="28" spans="1:29" ht="18.75" customHeight="1">
      <c r="A28" s="32">
        <f>MAX($A$24:A27)+1</f>
        <v>16</v>
      </c>
      <c r="B28" s="49" t="s">
        <v>57</v>
      </c>
      <c r="C28" s="28"/>
      <c r="D28" s="28"/>
      <c r="E28" s="50"/>
      <c r="F28" s="81" t="s">
        <v>61</v>
      </c>
      <c r="G28" s="81"/>
      <c r="H28" s="29">
        <v>43671</v>
      </c>
      <c r="I28" s="29">
        <f>WORKDAY(H28,ROUNDUP(J28, 0)-1,Config!$C$2:$C$21)</f>
        <v>43671</v>
      </c>
      <c r="J28" s="56">
        <v>0.1</v>
      </c>
      <c r="K28" s="57">
        <v>1</v>
      </c>
      <c r="L28" s="29" t="s">
        <v>72</v>
      </c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55"/>
    </row>
    <row r="29" spans="1:29" ht="18.75" customHeight="1">
      <c r="A29" s="32">
        <f>MAX($A$24:A28)+1</f>
        <v>17</v>
      </c>
      <c r="B29" s="49" t="s">
        <v>58</v>
      </c>
      <c r="C29" s="28"/>
      <c r="D29" s="28"/>
      <c r="E29" s="50"/>
      <c r="F29" s="81" t="s">
        <v>61</v>
      </c>
      <c r="G29" s="81"/>
      <c r="H29" s="29">
        <v>43671</v>
      </c>
      <c r="I29" s="29">
        <f>WORKDAY(H29,ROUNDUP(J29, 0)-1,Config!$C$2:$C$21)</f>
        <v>43671</v>
      </c>
      <c r="J29" s="56">
        <v>0.1</v>
      </c>
      <c r="K29" s="57">
        <v>1</v>
      </c>
      <c r="L29" s="29" t="s">
        <v>73</v>
      </c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55"/>
    </row>
    <row r="30" spans="1:29" ht="18.75" customHeight="1">
      <c r="A30" s="32">
        <f>MAX($A$24:A29)+1</f>
        <v>18</v>
      </c>
      <c r="B30" s="49" t="s">
        <v>59</v>
      </c>
      <c r="C30" s="28"/>
      <c r="D30" s="28"/>
      <c r="E30" s="50"/>
      <c r="F30" s="81"/>
      <c r="G30" s="81"/>
      <c r="H30" s="29"/>
      <c r="I30" s="29" t="e">
        <f>WORKDAY(H30,ROUNDUP(J30, 0)-1,Config!$C$2:$C$21)</f>
        <v>#NUM!</v>
      </c>
      <c r="J30" s="56"/>
      <c r="K30" s="57"/>
      <c r="L30" s="29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55"/>
    </row>
  </sheetData>
  <sheetProtection insertRows="0"/>
  <mergeCells count="34">
    <mergeCell ref="F22:G22"/>
    <mergeCell ref="F23:G23"/>
    <mergeCell ref="F28:G28"/>
    <mergeCell ref="F29:G29"/>
    <mergeCell ref="F30:G30"/>
    <mergeCell ref="F25:G25"/>
    <mergeCell ref="F26:G26"/>
    <mergeCell ref="F27:G27"/>
    <mergeCell ref="A24:J24"/>
    <mergeCell ref="F14:G14"/>
    <mergeCell ref="F15:G15"/>
    <mergeCell ref="F16:G16"/>
    <mergeCell ref="F21:G21"/>
    <mergeCell ref="M7:Q7"/>
    <mergeCell ref="F18:G18"/>
    <mergeCell ref="F19:G19"/>
    <mergeCell ref="F20:G20"/>
    <mergeCell ref="F11:G11"/>
    <mergeCell ref="A17:J17"/>
    <mergeCell ref="F12:G12"/>
    <mergeCell ref="F13:G13"/>
    <mergeCell ref="A10:K10"/>
    <mergeCell ref="A7:A9"/>
    <mergeCell ref="R7:AC7"/>
    <mergeCell ref="K7:K9"/>
    <mergeCell ref="H7:H9"/>
    <mergeCell ref="I7:I9"/>
    <mergeCell ref="E1:G1"/>
    <mergeCell ref="E2:G2"/>
    <mergeCell ref="E3:G3"/>
    <mergeCell ref="B7:E9"/>
    <mergeCell ref="F7:G9"/>
    <mergeCell ref="L7:L9"/>
    <mergeCell ref="J7:J9"/>
  </mergeCells>
  <phoneticPr fontId="5"/>
  <conditionalFormatting sqref="M8:AC9">
    <cfRule type="expression" dxfId="78" priority="77009" stopIfTrue="1">
      <formula>OR((TEXT(M$8,"ddd") = "Sat"), (TEXT(M$8,"ddd") = "Sun"))</formula>
    </cfRule>
    <cfRule type="cellIs" dxfId="77" priority="78590" stopIfTrue="1" operator="equal">
      <formula>TODAY()</formula>
    </cfRule>
  </conditionalFormatting>
  <conditionalFormatting sqref="A10">
    <cfRule type="expression" dxfId="76" priority="79515">
      <formula>WEEKDAY($A10,2)&gt;5</formula>
    </cfRule>
  </conditionalFormatting>
  <conditionalFormatting sqref="N8">
    <cfRule type="expression" dxfId="75" priority="2201" stopIfTrue="1">
      <formula>OR((TEXT(N$8,"ddd") = "Sat"), (TEXT(N$8,"ddd") = "Sun"))</formula>
    </cfRule>
    <cfRule type="cellIs" dxfId="74" priority="2202" stopIfTrue="1" operator="equal">
      <formula>TODAY()</formula>
    </cfRule>
  </conditionalFormatting>
  <conditionalFormatting sqref="N9">
    <cfRule type="expression" dxfId="73" priority="2199" stopIfTrue="1">
      <formula>OR((TEXT(N$8,"ddd") = "Sat"), (TEXT(N$8,"ddd") = "Sun"))</formula>
    </cfRule>
    <cfRule type="cellIs" dxfId="72" priority="2200" stopIfTrue="1" operator="equal">
      <formula>TODAY()</formula>
    </cfRule>
  </conditionalFormatting>
  <conditionalFormatting sqref="N10">
    <cfRule type="expression" dxfId="71" priority="2198" stopIfTrue="1">
      <formula>OR((TEXT(N$8,"ddd") = "Sat"), (TEXT(N$8,"ddd") = "Sun"))</formula>
    </cfRule>
  </conditionalFormatting>
  <conditionalFormatting sqref="K11">
    <cfRule type="expression" dxfId="70" priority="1412">
      <formula>AND($I11&lt;TODAY(),$K11&lt;1)</formula>
    </cfRule>
  </conditionalFormatting>
  <conditionalFormatting sqref="K12">
    <cfRule type="expression" dxfId="69" priority="1411">
      <formula>AND($I12&lt;TODAY(),$K12&lt;1)</formula>
    </cfRule>
  </conditionalFormatting>
  <conditionalFormatting sqref="H11:I11 I12 H12:H13">
    <cfRule type="expression" dxfId="68" priority="1400">
      <formula>WEEKDAY($H11,2)&gt;5</formula>
    </cfRule>
  </conditionalFormatting>
  <conditionalFormatting sqref="A17">
    <cfRule type="expression" dxfId="67" priority="934">
      <formula>WEEKDAY($A17,2)&gt;5</formula>
    </cfRule>
  </conditionalFormatting>
  <conditionalFormatting sqref="K20">
    <cfRule type="expression" dxfId="66" priority="417">
      <formula>AND($I20&lt;TODAY(),$K20&lt;1)</formula>
    </cfRule>
  </conditionalFormatting>
  <conditionalFormatting sqref="I20">
    <cfRule type="expression" dxfId="65" priority="416">
      <formula>WEEKDAY($H20,2)&gt;5</formula>
    </cfRule>
  </conditionalFormatting>
  <conditionalFormatting sqref="K19">
    <cfRule type="expression" dxfId="64" priority="400">
      <formula>AND($I19&lt;TODAY(),$K19&lt;1)</formula>
    </cfRule>
  </conditionalFormatting>
  <conditionalFormatting sqref="I19">
    <cfRule type="expression" dxfId="63" priority="399">
      <formula>WEEKDAY($H19,2)&gt;5</formula>
    </cfRule>
  </conditionalFormatting>
  <conditionalFormatting sqref="I18">
    <cfRule type="expression" dxfId="62" priority="382">
      <formula>WEEKDAY($H18,2)&gt;5</formula>
    </cfRule>
  </conditionalFormatting>
  <conditionalFormatting sqref="A24">
    <cfRule type="expression" dxfId="61" priority="367">
      <formula>WEEKDAY($A24,2)&gt;5</formula>
    </cfRule>
  </conditionalFormatting>
  <conditionalFormatting sqref="I27">
    <cfRule type="expression" dxfId="60" priority="279">
      <formula>WEEKDAY($H27,2)&gt;5</formula>
    </cfRule>
  </conditionalFormatting>
  <conditionalFormatting sqref="I26">
    <cfRule type="expression" dxfId="59" priority="262">
      <formula>WEEKDAY($H26,2)&gt;5</formula>
    </cfRule>
  </conditionalFormatting>
  <conditionalFormatting sqref="H25:I25">
    <cfRule type="expression" dxfId="58" priority="245">
      <formula>WEEKDAY($H25,2)&gt;5</formula>
    </cfRule>
  </conditionalFormatting>
  <conditionalFormatting sqref="K13">
    <cfRule type="expression" dxfId="57" priority="214">
      <formula>AND($I13&lt;TODAY(),$K13&lt;1)</formula>
    </cfRule>
  </conditionalFormatting>
  <conditionalFormatting sqref="I13">
    <cfRule type="expression" dxfId="56" priority="213">
      <formula>WEEKDAY($H13,2)&gt;5</formula>
    </cfRule>
  </conditionalFormatting>
  <conditionalFormatting sqref="H18">
    <cfRule type="expression" dxfId="55" priority="173">
      <formula>WEEKDAY($H18,2)&gt;5</formula>
    </cfRule>
  </conditionalFormatting>
  <conditionalFormatting sqref="M10:AC30">
    <cfRule type="expression" dxfId="54" priority="79857" stopIfTrue="1">
      <formula>OR((TEXT(M$8,"ddd") = "Sat"), (TEXT(M$8,"ddd") = "Sun"))</formula>
    </cfRule>
    <cfRule type="expression" dxfId="53" priority="79858" stopIfTrue="1">
      <formula>M$8&lt;NOW()-1</formula>
    </cfRule>
    <cfRule type="expression" dxfId="52" priority="79859" stopIfTrue="1">
      <formula>M$8&gt;MAX($I$11:$I$20)</formula>
    </cfRule>
  </conditionalFormatting>
  <conditionalFormatting sqref="L11:L13">
    <cfRule type="expression" dxfId="51" priority="103">
      <formula>WEEKDAY($H11,2)&gt;5</formula>
    </cfRule>
  </conditionalFormatting>
  <conditionalFormatting sqref="L18:L20">
    <cfRule type="expression" dxfId="50" priority="102">
      <formula>WEEKDAY($H18,2)&gt;5</formula>
    </cfRule>
  </conditionalFormatting>
  <conditionalFormatting sqref="K14">
    <cfRule type="expression" dxfId="49" priority="100">
      <formula>AND($I14&lt;TODAY(),$K14&lt;1)</formula>
    </cfRule>
  </conditionalFormatting>
  <conditionalFormatting sqref="K15">
    <cfRule type="expression" dxfId="48" priority="99">
      <formula>AND($I15&lt;TODAY(),$K15&lt;1)</formula>
    </cfRule>
  </conditionalFormatting>
  <conditionalFormatting sqref="I14:I15">
    <cfRule type="expression" dxfId="47" priority="98">
      <formula>WEEKDAY($H14,2)&gt;5</formula>
    </cfRule>
  </conditionalFormatting>
  <conditionalFormatting sqref="K16">
    <cfRule type="expression" dxfId="46" priority="97">
      <formula>AND($I16&lt;TODAY(),$K16&lt;1)</formula>
    </cfRule>
  </conditionalFormatting>
  <conditionalFormatting sqref="I16">
    <cfRule type="expression" dxfId="45" priority="96">
      <formula>WEEKDAY($H16,2)&gt;5</formula>
    </cfRule>
  </conditionalFormatting>
  <conditionalFormatting sqref="L14:L16">
    <cfRule type="expression" dxfId="44" priority="81">
      <formula>WEEKDAY($H14,2)&gt;5</formula>
    </cfRule>
  </conditionalFormatting>
  <conditionalFormatting sqref="K23">
    <cfRule type="expression" dxfId="43" priority="80">
      <formula>AND($I23&lt;TODAY(),$K23&lt;1)</formula>
    </cfRule>
  </conditionalFormatting>
  <conditionalFormatting sqref="I23">
    <cfRule type="expression" dxfId="42" priority="79">
      <formula>WEEKDAY($H23,2)&gt;5</formula>
    </cfRule>
  </conditionalFormatting>
  <conditionalFormatting sqref="I22">
    <cfRule type="expression" dxfId="41" priority="77">
      <formula>WEEKDAY($H22,2)&gt;5</formula>
    </cfRule>
  </conditionalFormatting>
  <conditionalFormatting sqref="I21">
    <cfRule type="expression" dxfId="40" priority="76">
      <formula>WEEKDAY($H21,2)&gt;5</formula>
    </cfRule>
  </conditionalFormatting>
  <conditionalFormatting sqref="L21:L23">
    <cfRule type="expression" dxfId="39" priority="57">
      <formula>WEEKDAY($H21,2)&gt;5</formula>
    </cfRule>
  </conditionalFormatting>
  <conditionalFormatting sqref="I30">
    <cfRule type="expression" dxfId="38" priority="55">
      <formula>WEEKDAY($H30,2)&gt;5</formula>
    </cfRule>
  </conditionalFormatting>
  <conditionalFormatting sqref="I29">
    <cfRule type="expression" dxfId="37" priority="53">
      <formula>WEEKDAY($H29,2)&gt;5</formula>
    </cfRule>
  </conditionalFormatting>
  <conditionalFormatting sqref="I28">
    <cfRule type="expression" dxfId="36" priority="52">
      <formula>WEEKDAY($H28,2)&gt;5</formula>
    </cfRule>
  </conditionalFormatting>
  <conditionalFormatting sqref="H15">
    <cfRule type="expression" dxfId="35" priority="32">
      <formula>WEEKDAY($H15,2)&gt;5</formula>
    </cfRule>
  </conditionalFormatting>
  <conditionalFormatting sqref="H16">
    <cfRule type="expression" dxfId="34" priority="31">
      <formula>WEEKDAY($H16,2)&gt;5</formula>
    </cfRule>
  </conditionalFormatting>
  <conditionalFormatting sqref="H23">
    <cfRule type="expression" dxfId="33" priority="26">
      <formula>WEEKDAY($H23,2)&gt;5</formula>
    </cfRule>
  </conditionalFormatting>
  <conditionalFormatting sqref="H30">
    <cfRule type="expression" dxfId="32" priority="20">
      <formula>WEEKDAY($H30,2)&gt;5</formula>
    </cfRule>
  </conditionalFormatting>
  <conditionalFormatting sqref="L25">
    <cfRule type="expression" dxfId="31" priority="19">
      <formula>WEEKDAY($H25,2)&gt;5</formula>
    </cfRule>
  </conditionalFormatting>
  <conditionalFormatting sqref="L26:L29">
    <cfRule type="expression" dxfId="30" priority="18">
      <formula>WEEKDAY($H26,2)&gt;5</formula>
    </cfRule>
  </conditionalFormatting>
  <conditionalFormatting sqref="L30">
    <cfRule type="expression" dxfId="26" priority="14">
      <formula>WEEKDAY($H30,2)&gt;5</formula>
    </cfRule>
  </conditionalFormatting>
  <conditionalFormatting sqref="K22">
    <cfRule type="expression" dxfId="25" priority="13">
      <formula>AND($I22&lt;TODAY(),$K22&lt;1)</formula>
    </cfRule>
  </conditionalFormatting>
  <conditionalFormatting sqref="K25">
    <cfRule type="expression" dxfId="24" priority="12">
      <formula>AND($I25&lt;TODAY(),$K25&lt;1)</formula>
    </cfRule>
  </conditionalFormatting>
  <conditionalFormatting sqref="K26:K29">
    <cfRule type="expression" dxfId="23" priority="11">
      <formula>AND($I26&lt;TODAY(),$K26&lt;1)</formula>
    </cfRule>
  </conditionalFormatting>
  <conditionalFormatting sqref="K30">
    <cfRule type="expression" dxfId="20" priority="7">
      <formula>AND($I30&lt;TODAY(),$K30&lt;1)</formula>
    </cfRule>
  </conditionalFormatting>
  <conditionalFormatting sqref="H14">
    <cfRule type="expression" dxfId="19" priority="6">
      <formula>WEEKDAY($H14,2)&gt;5</formula>
    </cfRule>
  </conditionalFormatting>
  <conditionalFormatting sqref="H19:H22">
    <cfRule type="expression" dxfId="18" priority="4">
      <formula>WEEKDAY($H19,2)&gt;5</formula>
    </cfRule>
  </conditionalFormatting>
  <conditionalFormatting sqref="K18">
    <cfRule type="expression" dxfId="17" priority="3">
      <formula>AND($I18&lt;TODAY(),$K18&lt;1)</formula>
    </cfRule>
  </conditionalFormatting>
  <conditionalFormatting sqref="K21">
    <cfRule type="expression" dxfId="16" priority="2">
      <formula>AND($I21&lt;TODAY(),$K21&lt;1)</formula>
    </cfRule>
  </conditionalFormatting>
  <conditionalFormatting sqref="H26:H29">
    <cfRule type="expression" dxfId="15" priority="1">
      <formula>WEEKDAY($H26,2)&gt;5</formula>
    </cfRule>
  </conditionalFormatting>
  <pageMargins left="0.7" right="0.7" top="0.75" bottom="0.75" header="0.3" footer="0.3"/>
  <pageSetup scale="53" orientation="landscape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GenGantt_Click">
                <anchor>
                  <from>
                    <xdr:col>7</xdr:col>
                    <xdr:colOff>504825</xdr:colOff>
                    <xdr:row>3</xdr:row>
                    <xdr:rowOff>0</xdr:rowOff>
                  </from>
                  <to>
                    <xdr:col>8</xdr:col>
                    <xdr:colOff>485775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7660" stopIfTrue="1" id="{B1E1DB9A-DA81-4389-AA6A-ACBC9E9CAFB0}">
            <xm:f>MATCH(M$8,Config!$C$2:$C$21,0)</xm:f>
            <x14:dxf>
              <fill>
                <patternFill>
                  <bgColor theme="0" tint="-0.34998626667073579"/>
                </patternFill>
              </fill>
            </x14:dxf>
          </x14:cfRule>
          <xm:sqref>M8:AC8</xm:sqref>
        </x14:conditionalFormatting>
        <x14:conditionalFormatting xmlns:xm="http://schemas.microsoft.com/office/excel/2006/main">
          <x14:cfRule type="expression" priority="77443" stopIfTrue="1" id="{1A76D507-A7D2-4D01-930F-2B5281815D3C}">
            <xm:f>MATCH(M$8,Config!$C$2:$C$21, )</xm:f>
            <x14:dxf>
              <fill>
                <patternFill>
                  <bgColor theme="0" tint="-0.34998626667073579"/>
                </patternFill>
              </fill>
            </x14:dxf>
          </x14:cfRule>
          <xm:sqref>M9:AC9</xm:sqref>
        </x14:conditionalFormatting>
        <x14:conditionalFormatting xmlns:xm="http://schemas.microsoft.com/office/excel/2006/main">
          <x14:cfRule type="expression" priority="13640" stopIfTrue="1" id="{D05CD49C-FA50-4E7B-9D5E-17C9E328D1F6}">
            <xm:f>AND(M$8&gt;=$H10,M$8&lt;=$I10, VLOOKUP($F10, Config!$I$2:$J$21, 2,FALSE)= 3)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3641" stopIfTrue="1" id="{A04C2715-8976-4DE9-B0B2-40D7135E0766}">
            <xm:f>AND(M$8&gt;=$H10,M$8&lt;=$I10, VLOOKUP($F10, Config!$I$2:$J$21, 2,FALSE)= 4)</xm:f>
            <x14:dxf>
              <fill>
                <patternFill>
                  <fgColor auto="1"/>
                  <bgColor rgb="FF00B050"/>
                </patternFill>
              </fill>
            </x14:dxf>
          </x14:cfRule>
          <x14:cfRule type="expression" priority="13642" stopIfTrue="1" id="{3E47855D-35CC-475D-9407-7CA344062558}">
            <xm:f>AND(M$8&gt;=$H10,M$8&lt;=$I10, VLOOKUP($F10, Config!$I$2:$J$21, 2,FALSE)= 5)</xm:f>
            <x14:dxf>
              <fill>
                <patternFill>
                  <bgColor theme="7" tint="-0.24994659260841701"/>
                </patternFill>
              </fill>
            </x14:dxf>
          </x14:cfRule>
          <x14:cfRule type="expression" priority="79650" stopIfTrue="1" id="{8438294E-1B0A-46DF-B731-94AF18890D95}">
            <xm:f>AND(M$8&gt;=$H10,M$8&lt;=$I10, VLOOKUP($F10, Config!$I$2:$J$21, 2,FALSE)= 6)</xm:f>
            <x14:dxf>
              <fill>
                <patternFill>
                  <bgColor theme="8" tint="0.39994506668294322"/>
                </patternFill>
              </fill>
            </x14:dxf>
          </x14:cfRule>
          <x14:cfRule type="expression" priority="79653" stopIfTrue="1" id="{5AA336B8-6E03-47F4-80E5-63D9F507AB13}">
            <xm:f>AND(M$8&gt;=$H10,M$8&lt;=$I10, VLOOKUP($F10, Config!$I$2:$J$21, 2,FALSE)= 7)</xm:f>
            <x14:dxf>
              <fill>
                <patternFill patternType="mediumGray">
                  <bgColor theme="3" tint="0.39991454817346722"/>
                </patternFill>
              </fill>
            </x14:dxf>
          </x14:cfRule>
          <x14:cfRule type="expression" priority="79733" stopIfTrue="1" id="{5841F890-0930-449F-BDF2-4034F851CAB6}">
            <xm:f>AND(M$8&gt;=$H10,M$8&lt;=$I10, VLOOKUP($F10, Config!$I$2:$J$21, 2,FALSE)= 8)</xm:f>
            <x14:dxf>
              <fill>
                <patternFill patternType="mediumGray">
                  <bgColor theme="9" tint="0.39994506668294322"/>
                </patternFill>
              </fill>
            </x14:dxf>
          </x14:cfRule>
          <x14:cfRule type="expression" priority="79736" stopIfTrue="1" id="{9764AEF5-897E-43B3-AF4E-D66F6A712104}">
            <xm:f>AND(M$8&gt;=$H10,M$8&lt;=$I10, VLOOKUP($F10, Config!$I$2:$J$21, 2,FALSE)= 9)</xm:f>
            <x14:dxf>
              <fill>
                <patternFill patternType="mediumGray">
                  <fgColor theme="0" tint="-0.14996795556505021"/>
                  <bgColor theme="5" tint="-0.24994659260841701"/>
                </patternFill>
              </fill>
            </x14:dxf>
          </x14:cfRule>
          <x14:cfRule type="expression" priority="79803" stopIfTrue="1" id="{53730444-6BB5-4CB3-A253-21D4C997AEF7}">
            <xm:f>AND(M$8&gt;=$H10,M$8&lt;=$I10, VLOOKUP($F10, Config!$I$2:$J$21, 2,FALSE)= 10)</xm:f>
            <x14:dxf>
              <fill>
                <patternFill patternType="mediumGray">
                  <fgColor theme="4" tint="0.59996337778862885"/>
                  <bgColor theme="3" tint="-0.24994659260841701"/>
                </patternFill>
              </fill>
            </x14:dxf>
          </x14:cfRule>
          <xm:sqref>M10:AC30</xm:sqref>
        </x14:conditionalFormatting>
        <x14:conditionalFormatting xmlns:xm="http://schemas.microsoft.com/office/excel/2006/main">
          <x14:cfRule type="expression" priority="13637" stopIfTrue="1" id="{60B4BD49-62CB-4B29-9F4B-1C3A4F240D4E}">
            <xm:f>MATCH(M$8,Config!$C$2:$C$21, )</xm:f>
            <x14:dxf>
              <fill>
                <patternFill>
                  <bgColor theme="0" tint="-0.34998626667073579"/>
                </patternFill>
              </fill>
            </x14:dxf>
          </x14:cfRule>
          <x14:cfRule type="expression" priority="13639" stopIfTrue="1" id="{FCBFDB31-D07B-490E-86A0-EB2FB2ABD6F6}">
            <xm:f>AND(M$8&gt;=$H10,M$8&lt;=$I10, VLOOKUP($F10, Config!$I$2:$J$21, 2,FALSE)= 2)</xm:f>
            <x14:dxf>
              <fill>
                <patternFill>
                  <bgColor theme="5" tint="-0.24994659260841701"/>
                </patternFill>
              </fill>
            </x14:dxf>
          </x14:cfRule>
          <xm:sqref>M10:AC30</xm:sqref>
        </x14:conditionalFormatting>
        <x14:conditionalFormatting xmlns:xm="http://schemas.microsoft.com/office/excel/2006/main">
          <x14:cfRule type="expression" priority="13638" stopIfTrue="1" id="{208C2151-74BF-4026-9B43-CEE9ADC46542}">
            <xm:f>AND(M$8&gt;=$H10,M$8&lt;=$I10, VLOOKUP($F10, Config!$I$2:$J$21, 2,FALSE)= 1)</xm:f>
            <x14:dxf>
              <font>
                <color auto="1"/>
              </font>
              <fill>
                <patternFill>
                  <bgColor theme="8" tint="-0.24994659260841701"/>
                </patternFill>
              </fill>
            </x14:dxf>
          </x14:cfRule>
          <xm:sqref>M10:AC30</xm:sqref>
        </x14:conditionalFormatting>
        <x14:conditionalFormatting xmlns:xm="http://schemas.microsoft.com/office/excel/2006/main">
          <x14:cfRule type="expression" priority="2197" stopIfTrue="1" id="{FD63F430-91A8-4F46-AE70-EAFBEE643B30}">
            <xm:f>MATCH(N$8,Config!$C$2:$C$21,0)</xm:f>
            <x14:dxf>
              <fill>
                <patternFill>
                  <bgColor theme="0" tint="-0.34998626667073579"/>
                </patternFill>
              </fill>
            </x14:dxf>
          </x14:cfRule>
          <xm:sqref>N8</xm:sqref>
        </x14:conditionalFormatting>
        <x14:conditionalFormatting xmlns:xm="http://schemas.microsoft.com/office/excel/2006/main">
          <x14:cfRule type="expression" priority="2196" stopIfTrue="1" id="{0B703B9E-AD6D-433A-A7DB-964713FB539F}">
            <xm:f>MATCH(N$8,Config!$C$2:$C$21, )</xm:f>
            <x14:dxf>
              <fill>
                <patternFill>
                  <bgColor theme="0" tint="-0.34998626667073579"/>
                </patternFill>
              </fill>
            </x14:dxf>
          </x14:cfRule>
          <xm:sqref>N9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Config!$I$2:$I$6</xm:f>
          </x14:formula1>
          <xm:sqref>F18:G23 F11:G16 F25:G30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"/>
  <dimension ref="A1:J21"/>
  <sheetViews>
    <sheetView workbookViewId="0">
      <selection activeCell="I5" sqref="I5"/>
    </sheetView>
  </sheetViews>
  <sheetFormatPr defaultColWidth="9" defaultRowHeight="15"/>
  <cols>
    <col min="1" max="1" width="5.42578125" style="2" customWidth="1"/>
    <col min="2" max="2" width="14.5703125" style="2" customWidth="1"/>
    <col min="3" max="8" width="9" style="2"/>
    <col min="9" max="9" width="10.42578125" style="2" customWidth="1"/>
    <col min="10" max="16384" width="9" style="2"/>
  </cols>
  <sheetData>
    <row r="1" spans="1:10">
      <c r="A1" s="1" t="s">
        <v>0</v>
      </c>
      <c r="B1" s="1" t="s">
        <v>1</v>
      </c>
      <c r="C1" s="1" t="s">
        <v>2</v>
      </c>
      <c r="E1" s="1" t="s">
        <v>0</v>
      </c>
      <c r="F1" s="1" t="s">
        <v>24</v>
      </c>
      <c r="G1" s="1" t="s">
        <v>25</v>
      </c>
      <c r="I1" s="1" t="s">
        <v>26</v>
      </c>
      <c r="J1" s="1" t="s">
        <v>0</v>
      </c>
    </row>
    <row r="2" spans="1:10">
      <c r="A2" s="3">
        <v>1</v>
      </c>
      <c r="B2" s="4"/>
      <c r="C2" s="16">
        <v>43245</v>
      </c>
      <c r="E2" s="3">
        <v>1</v>
      </c>
      <c r="F2" s="14" t="s">
        <v>16</v>
      </c>
      <c r="G2" s="15" t="s">
        <v>17</v>
      </c>
      <c r="I2" s="4" t="s">
        <v>42</v>
      </c>
      <c r="J2" s="3">
        <v>1</v>
      </c>
    </row>
    <row r="3" spans="1:10">
      <c r="A3" s="3">
        <v>2</v>
      </c>
      <c r="B3" s="4"/>
      <c r="C3" s="16">
        <v>43465</v>
      </c>
      <c r="E3" s="3">
        <v>2</v>
      </c>
      <c r="F3" s="13" t="s">
        <v>10</v>
      </c>
      <c r="G3" s="15" t="s">
        <v>18</v>
      </c>
      <c r="I3" s="4" t="s">
        <v>47</v>
      </c>
      <c r="J3" s="3">
        <v>2</v>
      </c>
    </row>
    <row r="4" spans="1:10">
      <c r="A4" s="3">
        <v>3</v>
      </c>
      <c r="B4" s="4"/>
      <c r="C4" s="16">
        <v>43466</v>
      </c>
      <c r="E4" s="3">
        <v>3</v>
      </c>
      <c r="F4" s="13" t="s">
        <v>11</v>
      </c>
      <c r="G4" s="15" t="s">
        <v>19</v>
      </c>
      <c r="I4" s="4" t="s">
        <v>43</v>
      </c>
      <c r="J4" s="3">
        <v>3</v>
      </c>
    </row>
    <row r="5" spans="1:10">
      <c r="A5" s="3">
        <v>4</v>
      </c>
      <c r="B5" s="4"/>
      <c r="C5" s="16"/>
      <c r="E5" s="3">
        <v>4</v>
      </c>
      <c r="F5" s="13" t="s">
        <v>12</v>
      </c>
      <c r="G5" s="15" t="s">
        <v>20</v>
      </c>
      <c r="I5" s="4" t="s">
        <v>62</v>
      </c>
      <c r="J5" s="3">
        <v>4</v>
      </c>
    </row>
    <row r="6" spans="1:10">
      <c r="A6" s="3">
        <v>5</v>
      </c>
      <c r="B6" s="4"/>
      <c r="C6" s="16"/>
      <c r="E6" s="3">
        <v>5</v>
      </c>
      <c r="F6" s="13" t="s">
        <v>13</v>
      </c>
      <c r="G6" s="15" t="s">
        <v>21</v>
      </c>
      <c r="I6" s="4" t="s">
        <v>48</v>
      </c>
      <c r="J6" s="3">
        <v>5</v>
      </c>
    </row>
    <row r="7" spans="1:10">
      <c r="A7" s="3">
        <v>6</v>
      </c>
      <c r="B7" s="4"/>
      <c r="C7" s="16"/>
      <c r="E7" s="3">
        <v>6</v>
      </c>
      <c r="F7" s="13" t="s">
        <v>14</v>
      </c>
      <c r="G7" s="15" t="s">
        <v>22</v>
      </c>
      <c r="I7" s="4" t="s">
        <v>45</v>
      </c>
      <c r="J7" s="3">
        <v>6</v>
      </c>
    </row>
    <row r="8" spans="1:10">
      <c r="A8" s="3">
        <v>7</v>
      </c>
      <c r="B8" s="4"/>
      <c r="C8" s="16"/>
      <c r="E8" s="3">
        <v>7</v>
      </c>
      <c r="F8" s="13" t="s">
        <v>15</v>
      </c>
      <c r="G8" s="15" t="s">
        <v>23</v>
      </c>
      <c r="I8" s="4" t="s">
        <v>46</v>
      </c>
      <c r="J8" s="3">
        <v>7</v>
      </c>
    </row>
    <row r="9" spans="1:10">
      <c r="A9" s="3">
        <v>8</v>
      </c>
      <c r="B9" s="4"/>
      <c r="C9" s="16"/>
      <c r="I9" s="4" t="s">
        <v>62</v>
      </c>
      <c r="J9" s="3">
        <v>8</v>
      </c>
    </row>
    <row r="10" spans="1:10">
      <c r="A10" s="3">
        <v>9</v>
      </c>
      <c r="B10" s="4"/>
      <c r="C10" s="16"/>
      <c r="I10" s="4" t="s">
        <v>27</v>
      </c>
      <c r="J10" s="3">
        <v>9</v>
      </c>
    </row>
    <row r="11" spans="1:10">
      <c r="A11" s="3">
        <v>10</v>
      </c>
      <c r="B11" s="4"/>
      <c r="C11" s="16"/>
      <c r="I11" s="4" t="s">
        <v>28</v>
      </c>
      <c r="J11" s="3">
        <v>10</v>
      </c>
    </row>
    <row r="12" spans="1:10">
      <c r="A12" s="3">
        <v>11</v>
      </c>
      <c r="B12" s="4"/>
      <c r="C12" s="16"/>
      <c r="I12" s="4" t="s">
        <v>29</v>
      </c>
      <c r="J12" s="3">
        <v>11</v>
      </c>
    </row>
    <row r="13" spans="1:10">
      <c r="A13" s="3">
        <v>12</v>
      </c>
      <c r="B13" s="4"/>
      <c r="C13" s="16"/>
      <c r="I13" s="4" t="s">
        <v>30</v>
      </c>
      <c r="J13" s="3">
        <v>12</v>
      </c>
    </row>
    <row r="14" spans="1:10">
      <c r="A14" s="3">
        <v>13</v>
      </c>
      <c r="B14" s="4"/>
      <c r="C14" s="16"/>
      <c r="I14" s="4" t="s">
        <v>31</v>
      </c>
      <c r="J14" s="3">
        <v>13</v>
      </c>
    </row>
    <row r="15" spans="1:10">
      <c r="A15" s="3">
        <v>14</v>
      </c>
      <c r="B15" s="4"/>
      <c r="C15" s="16"/>
      <c r="I15" s="4" t="s">
        <v>32</v>
      </c>
      <c r="J15" s="3">
        <v>14</v>
      </c>
    </row>
    <row r="16" spans="1:10">
      <c r="A16" s="3">
        <v>15</v>
      </c>
      <c r="B16" s="4"/>
      <c r="C16" s="16"/>
      <c r="I16" s="4" t="s">
        <v>33</v>
      </c>
      <c r="J16" s="3">
        <v>15</v>
      </c>
    </row>
    <row r="17" spans="1:10">
      <c r="A17" s="3">
        <v>16</v>
      </c>
      <c r="B17" s="4"/>
      <c r="C17" s="16"/>
      <c r="I17" s="4" t="s">
        <v>34</v>
      </c>
      <c r="J17" s="3">
        <v>16</v>
      </c>
    </row>
    <row r="18" spans="1:10">
      <c r="A18" s="3">
        <v>17</v>
      </c>
      <c r="B18" s="4"/>
      <c r="C18" s="16"/>
      <c r="I18" s="4" t="s">
        <v>35</v>
      </c>
      <c r="J18" s="3">
        <v>17</v>
      </c>
    </row>
    <row r="19" spans="1:10">
      <c r="A19" s="3">
        <v>18</v>
      </c>
      <c r="B19" s="4"/>
      <c r="C19" s="16"/>
      <c r="I19" s="4" t="s">
        <v>36</v>
      </c>
      <c r="J19" s="3">
        <v>18</v>
      </c>
    </row>
    <row r="20" spans="1:10">
      <c r="A20" s="3">
        <v>19</v>
      </c>
      <c r="B20" s="4"/>
      <c r="C20" s="16"/>
      <c r="I20" s="4" t="s">
        <v>37</v>
      </c>
      <c r="J20" s="3">
        <v>19</v>
      </c>
    </row>
    <row r="21" spans="1:10">
      <c r="A21" s="3">
        <v>20</v>
      </c>
      <c r="B21" s="4"/>
      <c r="C21" s="16"/>
      <c r="I21" s="4" t="s">
        <v>38</v>
      </c>
      <c r="J21" s="3">
        <v>20</v>
      </c>
    </row>
  </sheetData>
  <phoneticPr fontId="5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Schedule</vt:lpstr>
      <vt:lpstr>Config</vt:lpstr>
      <vt:lpstr>Schedule!Print_Area</vt:lpstr>
      <vt:lpstr>Schedule!作業期間開始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THANH</dc:creator>
  <cp:lastModifiedBy>HPB</cp:lastModifiedBy>
  <cp:lastPrinted>2019-01-22T09:49:56Z</cp:lastPrinted>
  <dcterms:created xsi:type="dcterms:W3CDTF">2016-11-21T09:28:27Z</dcterms:created>
  <dcterms:modified xsi:type="dcterms:W3CDTF">2019-07-24T09:00:26Z</dcterms:modified>
</cp:coreProperties>
</file>